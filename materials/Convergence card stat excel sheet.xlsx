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3ccbfa5128a4325" /></Relationships>
</file>

<file path=xl/workbook.xml><?xml version="1.0" encoding="utf-8"?>
<x:workbook xmlns:x="http://schemas.openxmlformats.org/spreadsheetml/2006/main">
  <x:sheets>
    <x:sheet xmlns:r="http://schemas.openxmlformats.org/officeDocument/2006/relationships" name="Cards" sheetId="1" r:id="R8eba4a9a0b874e5e"/>
    <x:sheet xmlns:r="http://schemas.openxmlformats.org/officeDocument/2006/relationships" name="Relics" sheetId="2" r:id="Rf72bc3291f544030"/>
    <x:sheet xmlns:r="http://schemas.openxmlformats.org/officeDocument/2006/relationships" name="Rules" sheetId="3" r:id="R29045237e1fb4733"/>
    <x:sheet xmlns:r="http://schemas.openxmlformats.org/officeDocument/2006/relationships" name="Summary" sheetId="4" r:id="R41f2a3c94ab444ec"/>
    <x:sheet xmlns:r="http://schemas.openxmlformats.org/officeDocument/2006/relationships" name="Lore Ranking" sheetId="5" r:id="R995bfb206deb46a7"/>
    <x:sheet xmlns:r="http://schemas.openxmlformats.org/officeDocument/2006/relationships" name="Lore Ranking Rules" sheetId="6" r:id="Rd41c74f213084f0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968983eebf6416b" /><Relationship Type="http://schemas.openxmlformats.org/officeDocument/2006/relationships/theme" Target="/xl/theme/theme1.xml" Id="Rd77980ddd0884c55" /><Relationship Type="http://schemas.openxmlformats.org/officeDocument/2006/relationships/sharedStrings" Target="/xl/sharedStrings.xml" Id="R4a844b06131e46ca" /><Relationship Type="http://schemas.openxmlformats.org/officeDocument/2006/relationships/worksheet" Target="/xl/worksheets/sheet1.xml" Id="R8eba4a9a0b874e5e" /><Relationship Type="http://schemas.openxmlformats.org/officeDocument/2006/relationships/worksheet" Target="/xl/worksheets/sheet2.xml" Id="Rf72bc3291f544030" /><Relationship Type="http://schemas.openxmlformats.org/officeDocument/2006/relationships/worksheet" Target="/xl/worksheets/sheet3.xml" Id="R29045237e1fb4733" /><Relationship Type="http://schemas.openxmlformats.org/officeDocument/2006/relationships/worksheet" Target="/xl/worksheets/sheet4.xml" Id="R41f2a3c94ab444ec" /><Relationship Type="http://schemas.openxmlformats.org/officeDocument/2006/relationships/worksheet" Target="/xl/worksheets/sheet5.xml" Id="R995bfb206deb46a7" /><Relationship Type="http://schemas.openxmlformats.org/officeDocument/2006/relationships/worksheet" Target="/xl/worksheets/sheet6.xml" Id="Rd41c74f213084f04"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6cc4aee803946ec" /></Relationships>
</file>

<file path=xl/worksheets/_rels/sheet2.xml.rels>&#65279;<?xml version="1.0" encoding="utf-8"?><Relationships xmlns="http://schemas.openxmlformats.org/package/2006/relationships"><Relationship Type="http://schemas.openxmlformats.org/officeDocument/2006/relationships/table" Target="/xl/tables/table2.xml" Id="R08cf3cf2640547c4" /></Relationships>
</file>

<file path=xl/worksheets/_rels/sheet5.xml.rels>&#65279;<?xml version="1.0" encoding="utf-8"?><Relationships xmlns="http://schemas.openxmlformats.org/package/2006/relationships"><Relationship Type="http://schemas.openxmlformats.org/officeDocument/2006/relationships/table" Target="/xl/tables/table3.xml" Id="Rda33bc79b39c4438"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1/5</x:v>
      </x:c>
      <x:c r="D78" s="21" t="n">
        <x:v>1</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Epic</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Ascension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Legendary</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Legendary</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Choose an enemy Evil minion. Every friendly minion attacks it immediately</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Epic</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80%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Epic</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other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+2/+2 for each 20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Epic</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3x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Epic</x:v>
      </x:c>
      <x:c r="G153" s="24" t="str">
        <x:v>Tech</x:v>
      </x:c>
      <x:c r="H153" s="24" t="str">
        <x:v>Good</x:v>
      </x:c>
      <x:c r="I153" s="18" t="str">
        <x:v>Battlecry: Choose an enemy minion. Choose one gadget: Freeze it; Silence it; or give it -3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50%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Epic</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4" customHeight="1">
      <x:c r="A160" s="21" t="n">
        <x:v>2</x:v>
      </x:c>
      <x:c r="B160" s="14" t="str">
        <x:v>Kureo Mado</x:v>
      </x:c>
      <x:c r="C160" s="23" t="str">
        <x:f>D160&amp;"/"&amp;E160</x:f>
        <x:v>1/1</x:v>
      </x:c>
      <x:c r="D160" s="21" t="n">
        <x:v>1</x:v>
      </x:c>
      <x:c r="E160" s="21" t="n">
        <x:v>1</x:v>
      </x:c>
      <x:c r="F160" s="23" t="str">
        <x:v>Epic</x:v>
      </x:c>
      <x:c r="G160" s="23" t="str">
        <x:v>Tech</x:v>
      </x:c>
      <x:c r="H160" s="23" t="str">
        <x:v>Neutral</x:v>
      </x:c>
      <x:c r="I160" s="13" t="str">
        <x:v>Battlecry: Take an enemy minion's Ascension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Epic</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Epic</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2"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While you control a Taunt minion, this has +1/+1</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Ascension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Legendary</x:v>
      </x:c>
      <x:c r="G170" s="23" t="str">
        <x:v>Magic</x:v>
      </x:c>
      <x:c r="H170" s="23" t="str">
        <x:v>Good</x:v>
      </x:c>
      <x:c r="I170" s="13" t="str">
        <x:v>Battlecry: Draw an Ascension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Mythic</x:v>
      </x:c>
      <x:c r="G172" s="23" t="str">
        <x:v>Nature</x:v>
      </x:c>
      <x:c r="H172" s="23" t="str">
        <x:v>Good</x:v>
      </x:c>
      <x:c r="I172" s="13" t="str">
        <x:v>Battlecry: Discover 1 of 3 Ascension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a6cc4aee803946ec"/>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08cf3cf2640547c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hotseat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four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25</x:v>
      </x:c>
      <x:c r="C2" s="2"/>
      <x:c r="D2" s="8" t="n">
        <x:v>10</x:v>
      </x:c>
      <x:c r="E2" s="8" t="n">
        <x:f>COUNTIF(Cards!A2:A184,D2)+COUNTIF(Relics!A2:A35,D2)</x:f>
        <x:v>10</x:v>
      </x:c>
    </x:row>
    <x:row r="3" ht="28" customHeight="1">
      <x:c r="A3" s="2" t="str">
        <x:v>Legendary</x:v>
      </x:c>
      <x:c r="B3" s="8" t="n">
        <x:f>COUNTIF(Cards!F2:F184,A3)</x:f>
        <x:v>32</x:v>
      </x:c>
      <x:c r="C3" s="2"/>
      <x:c r="D3" s="8" t="n">
        <x:v>9</x:v>
      </x:c>
      <x:c r="E3" s="8" t="n">
        <x:f>COUNTIF(Cards!A2:A184,D3)+COUNTIF(Relics!A2:A35,D3)</x:f>
        <x:v>12</x:v>
      </x:c>
    </x:row>
    <x:row r="4" ht="28" customHeight="1">
      <x:c r="A4" s="2" t="str">
        <x:v>Epic</x:v>
      </x:c>
      <x:c r="B4" s="8" t="n">
        <x:f>COUNTIF(Cards!F2:F184,A4)</x:f>
        <x:v>54</x:v>
      </x:c>
      <x:c r="C4" s="2"/>
      <x:c r="D4" s="8" t="n">
        <x:v>8</x:v>
      </x:c>
      <x:c r="E4" s="8" t="n">
        <x:f>COUNTIF(Cards!A2:A184,D4)+COUNTIF(Relics!A2:A35,D4)</x:f>
        <x:v>17</x:v>
      </x:c>
    </x:row>
    <x:row r="5" ht="28" customHeight="1">
      <x:c r="A5" s="2" t="str">
        <x:v>Rare</x:v>
      </x:c>
      <x:c r="B5" s="8" t="n">
        <x:f>COUNTIF(Cards!F2:F184,A5)</x:f>
        <x:v>72</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88</x:v>
      </x:c>
      <x:c r="C9" s="2"/>
      <x:c r="D9" s="8" t="n">
        <x:v>3</x:v>
      </x:c>
      <x:c r="E9" s="8" t="n">
        <x:f>COUNTIF(Cards!A2:A184,D9)+COUNTIF(Relics!A2:A35,D9)</x:f>
        <x:v>29</x:v>
      </x:c>
    </x:row>
    <x:row r="10" ht="28" customHeight="1">
      <x:c r="A10" s="2" t="str">
        <x:v>Tech</x:v>
      </x:c>
      <x:c r="B10" s="8" t="n">
        <x:f>COUNTIF(Cards!G2:G184,A10)</x:f>
        <x:v>36</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da33bc79b39c443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