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6073cf5715b49df" /></Relationships>
</file>

<file path=xl/workbook.xml><?xml version="1.0" encoding="utf-8"?>
<x:workbook xmlns:x="http://schemas.openxmlformats.org/spreadsheetml/2006/main">
  <x:sheets>
    <x:sheet xmlns:r="http://schemas.openxmlformats.org/officeDocument/2006/relationships" name="Cards" sheetId="1" r:id="R46e2905169bf4d51"/>
    <x:sheet xmlns:r="http://schemas.openxmlformats.org/officeDocument/2006/relationships" name="Relics" sheetId="2" r:id="R78ef6e0b3061448a"/>
    <x:sheet xmlns:r="http://schemas.openxmlformats.org/officeDocument/2006/relationships" name="Rules" sheetId="3" r:id="R66541e5d5dfa41c6"/>
    <x:sheet xmlns:r="http://schemas.openxmlformats.org/officeDocument/2006/relationships" name="Summary" sheetId="4" r:id="R406e04dc87394af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6">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s>
  <x:fills count="5">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s>
  <x:borders count="1">
    <x:border/>
  </x:borders>
  <x:cellStyleXfs count="1">
    <x:xf numFmtId="0" fontId="0" fillId="0" borderId="0"/>
  </x:cellStyleXfs>
  <x:cellXfs count="2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cellXfs>
  <x:cellStyles count="1">
    <x:cellStyle name="Normal" xfId="0"/>
  </x:cellStyles>
  <x:dxfs count="11">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d433a27a1c34947" /><Relationship Type="http://schemas.openxmlformats.org/officeDocument/2006/relationships/theme" Target="/xl/theme/theme1.xml" Id="R018184cf23714e20" /><Relationship Type="http://schemas.openxmlformats.org/officeDocument/2006/relationships/sharedStrings" Target="/xl/sharedStrings.xml" Id="R9553d88fe9094050" /><Relationship Type="http://schemas.openxmlformats.org/officeDocument/2006/relationships/worksheet" Target="/xl/worksheets/sheet1.xml" Id="R46e2905169bf4d51" /><Relationship Type="http://schemas.openxmlformats.org/officeDocument/2006/relationships/worksheet" Target="/xl/worksheets/sheet2.xml" Id="R78ef6e0b3061448a" /><Relationship Type="http://schemas.openxmlformats.org/officeDocument/2006/relationships/worksheet" Target="/xl/worksheets/sheet3.xml" Id="R66541e5d5dfa41c6" /><Relationship Type="http://schemas.openxmlformats.org/officeDocument/2006/relationships/worksheet" Target="/xl/worksheets/sheet4.xml" Id="R406e04dc87394afc" /></Relationships>
</file>

<file path=xl/tables/table1.xml><?xml version="1.0" encoding="utf-8"?>
<x:table xmlns:x="http://schemas.openxmlformats.org/spreadsheetml/2006/main" id="1" name="CardRoster" displayName="CardRoster" ref="A1:L183"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26dd1d12fe64f49" /></Relationships>
</file>

<file path=xl/worksheets/_rels/sheet2.xml.rels>&#65279;<?xml version="1.0" encoding="utf-8"?><Relationships xmlns="http://schemas.openxmlformats.org/package/2006/relationships"><Relationship Type="http://schemas.openxmlformats.org/officeDocument/2006/relationships/table" Target="/xl/tables/table2.xml" Id="R03a016a13e3f48db"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Legendary</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DCU</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Mastered Ultra Instinct Goku</x:v>
      </x:c>
      <x:c r="C7" s="24" t="str">
        <x:f>D7&amp;"/"&amp;E7</x:f>
        <x:v>6/7</x:v>
      </x:c>
      <x:c r="D7" s="22" t="n">
        <x:v>6</x:v>
      </x:c>
      <x:c r="E7" s="22" t="n">
        <x:v>7</x:v>
      </x:c>
      <x:c r="F7" s="24" t="str">
        <x:v>Epic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4" customHeight="1">
      <x:c r="A8" s="21" t="n">
        <x:v>10</x:v>
      </x:c>
      <x:c r="B8" s="14" t="str">
        <x:v>Neo</x:v>
      </x:c>
      <x:c r="C8" s="23" t="str">
        <x:f>D8&amp;"/"&amp;E8</x:f>
        <x:v>5/7</x:v>
      </x:c>
      <x:c r="D8" s="21" t="n">
        <x:v>5</x:v>
      </x:c>
      <x:c r="E8" s="21" t="n">
        <x:v>7</x:v>
      </x:c>
      <x:c r="F8" s="23" t="str">
        <x:v>Mythic</x:v>
      </x:c>
      <x:c r="G8" s="23" t="str">
        <x:v>Tech</x:v>
      </x:c>
      <x:c r="H8" s="23" t="str">
        <x:v>Good</x:v>
      </x:c>
      <x:c r="I8" s="13" t="str">
        <x:v>Battlecry: Choose a friendly minion board slot. Minions on that slot cannot be Silenced, Frozen, or Chained</x:v>
      </x:c>
      <x:c r="J8" s="13" t="str">
        <x:v>He decided the bullets were harmless.</x:v>
      </x:c>
      <x:c r="K8" s="13" t="str">
        <x:v>Matrix</x:v>
      </x:c>
      <x:c r="L8" s="12" t="str">
        <x:v>c026</x:v>
      </x:c>
    </x:row>
    <x:row r="9" ht="42" customHeight="1">
      <x:c r="A9" s="22" t="n">
        <x:v>10</x:v>
      </x:c>
      <x:c r="B9" s="19" t="str">
        <x:v>Rick Prime</x:v>
      </x:c>
      <x:c r="C9" s="24" t="str">
        <x:f>D9&amp;"/"&amp;E9</x:f>
        <x:v>1/1</x:v>
      </x:c>
      <x:c r="D9" s="22" t="n">
        <x:v>1</x:v>
      </x:c>
      <x:c r="E9" s="22" t="n">
        <x:v>1</x:v>
      </x:c>
      <x:c r="F9" s="24" t="str">
        <x:v>Epic</x:v>
      </x:c>
      <x:c r="G9" s="24" t="str">
        <x:v>Tech</x:v>
      </x:c>
      <x:c r="H9" s="24" t="str">
        <x:v>Evil</x:v>
      </x:c>
      <x:c r="I9" s="18" t="str">
        <x:v>Battlecry: Return all other minions to their owners' hands</x:v>
      </x:c>
      <x:c r="J9" s="18" t="str">
        <x:v>What…</x:v>
      </x:c>
      <x:c r="K9" s="18" t="str">
        <x:v>Rick and Morty</x:v>
      </x:c>
      <x:c r="L9" s="17" t="str">
        <x:v>c045</x:v>
      </x:c>
    </x:row>
    <x:row r="10" ht="42" customHeight="1">
      <x:c r="A10" s="21" t="n">
        <x:v>10</x:v>
      </x:c>
      <x:c r="B10" s="14" t="str">
        <x:v>Saitama</x:v>
      </x:c>
      <x:c r="C10" s="23" t="str">
        <x:f>D10&amp;"/"&amp;E10</x:f>
        <x:v>10/10</x:v>
      </x:c>
      <x:c r="D10" s="21" t="n">
        <x:v>10</x:v>
      </x:c>
      <x:c r="E10" s="21" t="n">
        <x:v>10</x:v>
      </x:c>
      <x:c r="F10" s="23" t="str">
        <x:v>Mythic</x:v>
      </x:c>
      <x:c r="G10" s="23" t="str">
        <x:v>Nature</x:v>
      </x:c>
      <x:c r="H10" s="23" t="str">
        <x:v>Good</x:v>
      </x:c>
      <x:c r="I10" s="13" t="str">
        <x:v>Passive: Ignores ATK damage less than 5</x:v>
      </x:c>
      <x:c r="J10" s="13" t="str">
        <x:v>The punchline is always the same.</x:v>
      </x:c>
      <x:c r="K10" s="13" t="str">
        <x:v>OPM</x:v>
      </x:c>
      <x:c r="L10" s="12" t="str">
        <x:v>c025</x:v>
      </x:c>
    </x:row>
    <x:row r="11" ht="44" customHeight="1">
      <x:c r="A11" s="22" t="n">
        <x:v>10</x:v>
      </x:c>
      <x:c r="B11" s="19" t="str">
        <x:v>Thanos</x:v>
      </x:c>
      <x:c r="C11" s="24" t="str">
        <x:f>D11&amp;"/"&amp;E11</x:f>
        <x:v>9/10</x:v>
      </x:c>
      <x:c r="D11" s="22" t="n">
        <x:v>9</x:v>
      </x:c>
      <x:c r="E11" s="22" t="n">
        <x:v>10</x:v>
      </x:c>
      <x:c r="F11" s="24" t="str">
        <x:v>Legendary</x:v>
      </x:c>
      <x:c r="G11" s="24" t="str">
        <x:v>Magic</x:v>
      </x:c>
      <x:c r="H11" s="24" t="str">
        <x:v>Evil</x:v>
      </x:c>
      <x:c r="I11" s="18" t="str">
        <x:v>Battlecry: Each player destroys a random other minion and discards a random card</x:v>
      </x:c>
      <x:c r="J11" s="18" t="str">
        <x:v>Balance. At any cost.</x:v>
      </x:c>
      <x:c r="K11" s="18" t="str">
        <x:v>MCU</x:v>
      </x:c>
      <x:c r="L11" s="17" t="str">
        <x:v>c027</x:v>
      </x:c>
    </x:row>
    <x:row r="12" ht="42" customHeight="1">
      <x:c r="A12" s="21" t="n">
        <x:v>10</x:v>
      </x:c>
      <x:c r="B12" s="14" t="str">
        <x:v>The Watcher</x:v>
      </x:c>
      <x:c r="C12" s="23" t="str">
        <x:f>D12&amp;"/"&amp;E12</x:f>
        <x:v>10/7</x:v>
      </x:c>
      <x:c r="D12" s="21" t="n">
        <x:v>10</x:v>
      </x:c>
      <x:c r="E12" s="21" t="n">
        <x:v>7</x:v>
      </x:c>
      <x:c r="F12" s="23" t="str">
        <x:v>Epic</x:v>
      </x:c>
      <x:c r="G12" s="23" t="str">
        <x:v>Magic</x:v>
      </x:c>
      <x:c r="H12" s="23" t="str">
        <x:v>Neutral</x:v>
      </x:c>
      <x:c r="I12" s="13" t="str">
        <x:v>Cannot attack. Passive: Your opponent's hand is revealed to you</x:v>
      </x:c>
      <x:c r="J12" s="13" t="str">
        <x:v>The Witness</x:v>
      </x:c>
      <x:c r="K12" s="13" t="str">
        <x:v>MCU</x:v>
      </x:c>
      <x:c r="L12" s="12" t="str">
        <x:v>c046</x:v>
      </x:c>
    </x:row>
    <x:row r="13" ht="42" customHeight="1">
      <x:c r="A13" s="22" t="n">
        <x:v>9</x:v>
      </x:c>
      <x:c r="B13" s="19" t="str">
        <x:v>Ainz Ooal Gown</x:v>
      </x:c>
      <x:c r="C13" s="24" t="str">
        <x:f>D13&amp;"/"&amp;E13</x:f>
        <x:v>3/3</x:v>
      </x:c>
      <x:c r="D13" s="22" t="n">
        <x:v>3</x:v>
      </x:c>
      <x:c r="E13" s="22" t="n">
        <x:v>3</x:v>
      </x:c>
      <x:c r="F13" s="24" t="str">
        <x:v>Legendary</x:v>
      </x:c>
      <x:c r="G13" s="24" t="str">
        <x:v>Magic</x:v>
      </x:c>
      <x:c r="H13" s="24" t="str">
        <x:v>Evil</x:v>
      </x:c>
      <x:c r="I13" s="18" t="str">
        <x:v>Battlecry: Set all enemy minions' HP to 1</x:v>
      </x:c>
      <x:c r="J13" s="18" t="str">
        <x:v>The king of death.</x:v>
      </x:c>
      <x:c r="K13" s="18" t="str">
        <x:v>Overlord</x:v>
      </x:c>
      <x:c r="L13" s="17" t="str">
        <x:v>c023</x:v>
      </x:c>
    </x:row>
    <x:row r="14" ht="42" customHeight="1">
      <x:c r="A14" s="21" t="n">
        <x:v>9</x:v>
      </x:c>
      <x:c r="B14" s="14" t="str">
        <x:v>Aizen</x:v>
      </x:c>
      <x:c r="C14" s="23" t="str">
        <x:f>D14&amp;"/"&amp;E14</x:f>
        <x:v>4/4</x:v>
      </x:c>
      <x:c r="D14" s="21" t="n">
        <x:v>4</x:v>
      </x:c>
      <x:c r="E14" s="21" t="n">
        <x:v>4</x:v>
      </x:c>
      <x:c r="F14" s="23" t="str">
        <x:v>Epic</x:v>
      </x:c>
      <x:c r="G14" s="23" t="str">
        <x:v>Magic</x:v>
      </x:c>
      <x:c r="H14" s="23" t="str">
        <x:v>Evil</x:v>
      </x:c>
      <x:c r="I14" s="13" t="str">
        <x:v>Reborn twice. Silence and chain your killer</x:v>
      </x:c>
      <x:c r="J14" s="13" t="str">
        <x:v>All part of the plan</x:v>
      </x:c>
      <x:c r="K14" s="13" t="str">
        <x:v>Bleach</x:v>
      </x:c>
      <x:c r="L14" s="12" t="str">
        <x:v>c050</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42" customHeight="1">
      <x:c r="A16" s="21" t="n">
        <x:v>9</x:v>
      </x:c>
      <x:c r="B16" s="14" t="str">
        <x:v>Conquest</x:v>
      </x:c>
      <x:c r="C16" s="23" t="str">
        <x:f>D16&amp;"/"&amp;E16</x:f>
        <x:v>6/6</x:v>
      </x:c>
      <x:c r="D16" s="21" t="n">
        <x:v>6</x:v>
      </x:c>
      <x:c r="E16" s="21" t="n">
        <x:v>6</x:v>
      </x:c>
      <x:c r="F16" s="23" t="str">
        <x:v>Epic</x:v>
      </x:c>
      <x:c r="G16" s="23" t="str">
        <x:v>Nature</x:v>
      </x:c>
      <x:c r="H16" s="23" t="str">
        <x:v>Evil</x:v>
      </x:c>
      <x:c r="I16" s="13" t="str">
        <x:v>Ongoing: Gain +2/+2 for each enemy Good minion</x:v>
      </x:c>
      <x:c r="J16" s="13" t="str">
        <x:v>Named after his purpose.</x:v>
      </x:c>
      <x:c r="K16" s="13" t="str">
        <x:v>Invincible</x:v>
      </x:c>
      <x:c r="L16" s="12" t="str">
        <x:v>c024</x:v>
      </x:c>
    </x:row>
    <x:row r="17" ht="60" customHeight="1">
      <x:c r="A17" s="22" t="n">
        <x:v>9</x:v>
      </x:c>
      <x:c r="B17" s="19" t="str">
        <x:v>Death Star</x:v>
      </x:c>
      <x:c r="C17" s="24" t="str">
        <x:f>D17&amp;"/"&amp;E17</x:f>
        <x:v>7/6</x:v>
      </x:c>
      <x:c r="D17" s="22" t="n">
        <x:v>7</x:v>
      </x:c>
      <x:c r="E17" s="22" t="n">
        <x:v>6</x:v>
      </x:c>
      <x:c r="F17" s="24" t="str">
        <x:v>Rare</x:v>
      </x:c>
      <x:c r="G17" s="24" t="str">
        <x:v>Tech</x:v>
      </x:c>
      <x:c r="H17" s="24" t="str">
        <x:v>Neutral</x:v>
      </x:c>
      <x:c r="I17" s="18" t="str">
        <x:v>Battlecry: Mark an enemy minion or the enemy core. At the start of your next turn, if Death Star survives, destroy the marked minion or deal 12 damage to the marked core</x:v>
      </x:c>
      <x:c r="J17" s="18" t="str">
        <x:v>The ultimate weapon.</x:v>
      </x:c>
      <x:c r="K17" s="18" t="str">
        <x:v>Star Wars</x:v>
      </x:c>
      <x:c r="L17" s="17" t="str">
        <x:v>c055</x:v>
      </x:c>
    </x:row>
    <x:row r="18" ht="44" customHeight="1">
      <x:c r="A18" s="21" t="n">
        <x:v>9</x:v>
      </x:c>
      <x:c r="B18" s="14" t="str">
        <x:v>Doomsday</x:v>
      </x:c>
      <x:c r="C18" s="23" t="str">
        <x:f>D18&amp;"/"&amp;E18</x:f>
        <x:v>7/6</x:v>
      </x:c>
      <x:c r="D18" s="21" t="n">
        <x:v>7</x:v>
      </x:c>
      <x:c r="E18" s="21" t="n">
        <x:v>6</x:v>
      </x:c>
      <x:c r="F18" s="23" t="str">
        <x:v>Rare</x:v>
      </x:c>
      <x:c r="G18" s="23" t="str">
        <x:v>Nature</x:v>
      </x:c>
      <x:c r="H18" s="23" t="str">
        <x:v>Evil</x:v>
      </x:c>
      <x:c r="I18" s="13" t="str">
        <x:v>Passive: After it is attacked, gain immunity to that enemies Camp type of attack for the next 3 enemy turns</x:v>
      </x:c>
      <x:c r="J18" s="13" t="str">
        <x:v>Death is his only teacher, and he has learned well</x:v>
      </x:c>
      <x:c r="K18" s="13" t="str">
        <x:v>DCU</x:v>
      </x:c>
      <x:c r="L18" s="12" t="str">
        <x:v>c056</x:v>
      </x:c>
    </x:row>
    <x:row r="19" ht="44" customHeight="1">
      <x:c r="A19" s="22" t="n">
        <x:v>9</x:v>
      </x:c>
      <x:c r="B19" s="19" t="str">
        <x:v>Dormammu</x:v>
      </x:c>
      <x:c r="C19" s="24" t="str">
        <x:f>D19&amp;"/"&amp;E19</x:f>
        <x:v>8/5</x:v>
      </x:c>
      <x:c r="D19" s="22" t="n">
        <x:v>8</x:v>
      </x:c>
      <x:c r="E19" s="22" t="n">
        <x:v>5</x:v>
      </x:c>
      <x:c r="F19" s="24" t="str">
        <x:v>Epic</x:v>
      </x:c>
      <x:c r="G19" s="24" t="str">
        <x:v>Magic</x:v>
      </x:c>
      <x:c r="H19" s="24" t="str">
        <x:v>Evil</x:v>
      </x:c>
      <x:c r="I19" s="18" t="str">
        <x:v>Battlecry: Choose an enemy minion. Banish it to the Dark Dimension until Dormammu dies</x:v>
      </x:c>
      <x:c r="J19" s="18" t="str">
        <x:v>I've come to bargain</x:v>
      </x:c>
      <x:c r="K19" s="18" t="str">
        <x:v>MCU</x:v>
      </x:c>
      <x:c r="L19" s="17" t="str">
        <x:v>c052</x:v>
      </x:c>
    </x:row>
    <x:row r="20" ht="44" customHeight="1">
      <x:c r="A20" s="21" t="n">
        <x:v>9</x:v>
      </x:c>
      <x:c r="B20" s="14" t="str">
        <x:v>Gojo</x:v>
      </x:c>
      <x:c r="C20" s="23" t="str">
        <x:f>D20&amp;"/"&amp;E20</x:f>
        <x:v>4/8</x:v>
      </x:c>
      <x:c r="D20" s="21" t="n">
        <x:v>4</x:v>
      </x:c>
      <x:c r="E20" s="21" t="n">
        <x:v>8</x:v>
      </x:c>
      <x:c r="F20" s="23" t="str">
        <x:v>Legendary</x:v>
      </x:c>
      <x:c r="G20" s="23" t="str">
        <x:v>Magic</x:v>
      </x:c>
      <x:c r="H20" s="23" t="str">
        <x:v>Good</x:v>
      </x:c>
      <x:c r="I20" s="13" t="str">
        <x:v>Passive: All enemy minions are temporarily silenced (until Gojo dies)</x:v>
      </x:c>
      <x:c r="J20" s="13" t="str">
        <x:v>Infinity is rude.</x:v>
      </x:c>
      <x:c r="K20" s="13" t="str">
        <x:v>Jujutsu Kaisen</x:v>
      </x:c>
      <x:c r="L20" s="12" t="str">
        <x:v>c022</x:v>
      </x:c>
    </x:row>
    <x:row r="21" ht="44" customHeight="1">
      <x:c r="A21" s="22" t="n">
        <x:v>9</x:v>
      </x:c>
      <x:c r="B21" s="19" t="str">
        <x:v>Mob Psycho</x:v>
      </x:c>
      <x:c r="C21" s="24" t="str">
        <x:f>D21&amp;"/"&amp;E21</x:f>
        <x:v>5/5</x:v>
      </x:c>
      <x:c r="D21" s="22" t="n">
        <x:v>5</x:v>
      </x:c>
      <x:c r="E21" s="22" t="n">
        <x:v>5</x:v>
      </x:c>
      <x:c r="F21" s="24" t="str">
        <x:v>Epic</x:v>
      </x:c>
      <x:c r="G21" s="24" t="str">
        <x:v>Magic</x:v>
      </x:c>
      <x:c r="H21" s="24" t="str">
        <x:v>Good</x:v>
      </x:c>
      <x:c r="I21" s="18" t="str">
        <x:v>Battlecry: If 3 or more friendly minions are on the board, return them to your hand and set Mob's stats to 12/12</x:v>
      </x:c>
      <x:c r="J21" s="18" t="str">
        <x:v>A quiet storm</x:v>
      </x:c>
      <x:c r="K21" s="18" t="str">
        <x:v>Mob Psycho</x:v>
      </x:c>
      <x:c r="L21" s="17" t="str">
        <x:v>c053</x:v>
      </x:c>
    </x:row>
    <x:row r="22" ht="42" customHeight="1">
      <x:c r="A22" s="21" t="n">
        <x:v>9</x:v>
      </x:c>
      <x:c r="B22" s="14" t="str">
        <x:v>Planetary Defense Grid</x:v>
      </x:c>
      <x:c r="C22" s="23" t="str">
        <x:f>D22&amp;"/"&amp;E22</x:f>
        <x:v>4/8</x:v>
      </x:c>
      <x:c r="D22" s="21" t="n">
        <x:v>4</x:v>
      </x:c>
      <x:c r="E22" s="21" t="n">
        <x:v>8</x:v>
      </x:c>
      <x:c r="F22" s="23" t="str">
        <x:v>Rare</x:v>
      </x:c>
      <x:c r="G22" s="23" t="str">
        <x:v>Tech</x:v>
      </x:c>
      <x:c r="H22" s="23" t="str">
        <x:v>Neutral</x:v>
      </x:c>
      <x:c r="I22" s="13" t="str">
        <x:v>Taunt. Passive: All other Taunt minions have +2/+2</x:v>
      </x:c>
      <x:c r="J22" s="13" t="str">
        <x:v>The shield watches from orbit.</x:v>
      </x:c>
      <x:c r="K22" s="13" t="str">
        <x:v>Basic</x:v>
      </x:c>
      <x:c r="L22" s="12" t="str">
        <x:v>c177</x:v>
      </x:c>
    </x:row>
    <x:row r="23" ht="42" customHeight="1">
      <x:c r="A23" s="22" t="n">
        <x:v>9</x:v>
      </x:c>
      <x:c r="B23" s="19" t="str">
        <x:v>Rimuru Tempest</x:v>
      </x:c>
      <x:c r="C23" s="24" t="str">
        <x:f>D23&amp;"/"&amp;E23</x:f>
        <x:v>1/1</x:v>
      </x:c>
      <x:c r="D23" s="22" t="n">
        <x:v>1</x:v>
      </x:c>
      <x:c r="E23" s="22" t="n">
        <x:v>1</x:v>
      </x:c>
      <x:c r="F23" s="24" t="str">
        <x:v>Legendary</x:v>
      </x:c>
      <x:c r="G23" s="24" t="str">
        <x:v>Magic</x:v>
      </x:c>
      <x:c r="H23" s="24" t="str">
        <x:v>Good</x:v>
      </x:c>
      <x:c r="I23" s="18" t="str">
        <x:v>Battlecry: Destroy a minion. Gain its stats. Ongoing: Gain +1/+1</x:v>
      </x:c>
      <x:c r="J23" s="18" t="str">
        <x:v>Infinite growth</x:v>
      </x:c>
      <x:c r="K23" s="18" t="str">
        <x:v>Tensura</x:v>
      </x:c>
      <x:c r="L23" s="17" t="str">
        <x:v>c049</x:v>
      </x:c>
    </x:row>
    <x:row r="24" ht="44" customHeight="1">
      <x:c r="A24" s="21" t="n">
        <x:v>9</x:v>
      </x:c>
      <x:c r="B24" s="14" t="str">
        <x:v>Ten Tails</x:v>
      </x:c>
      <x:c r="C24" s="23" t="str">
        <x:f>D24&amp;"/"&amp;E24</x:f>
        <x:v>7/5</x:v>
      </x:c>
      <x:c r="D24" s="21" t="n">
        <x:v>7</x:v>
      </x:c>
      <x:c r="E24" s="21" t="n">
        <x:v>5</x:v>
      </x:c>
      <x:c r="F24" s="23" t="str">
        <x:v>Rare</x:v>
      </x:c>
      <x:c r="G24" s="23" t="str">
        <x:v>Nature</x:v>
      </x:c>
      <x:c r="H24" s="23" t="str">
        <x:v>Evil</x:v>
      </x:c>
      <x:c r="I24" s="13" t="str">
        <x:v>Battlecry: Chain all other minions</x:v>
      </x:c>
      <x:c r="J24" s="13" t="str">
        <x:v>The beast before beginnings, hungry for the end</x:v>
      </x:c>
      <x:c r="K24" s="13" t="str">
        <x:v>Naruto</x:v>
      </x:c>
      <x:c r="L24" s="12" t="str">
        <x:v>c057</x:v>
      </x:c>
    </x:row>
    <x:row r="25" ht="42" customHeight="1">
      <x:c r="A25" s="22" t="n">
        <x:v>8</x:v>
      </x:c>
      <x:c r="B25" s="19" t="str">
        <x:v>Chaos</x:v>
      </x:c>
      <x:c r="C25" s="24" t="str">
        <x:f>D25&amp;"/"&amp;E25</x:f>
        <x:v>4/4</x:v>
      </x:c>
      <x:c r="D25" s="22" t="n">
        <x:v>4</x:v>
      </x:c>
      <x:c r="E25" s="22" t="n">
        <x:v>4</x:v>
      </x:c>
      <x:c r="F25" s="24" t="str">
        <x:v>Epic</x:v>
      </x:c>
      <x:c r="G25" s="24" t="str">
        <x:v>Magic</x:v>
      </x:c>
      <x:c r="H25" s="24" t="str">
        <x:v>Neutral</x:v>
      </x:c>
      <x:c r="I25" s="18" t="str">
        <x:v>Battlecry: Summon a random minion from the deck</x:v>
      </x:c>
      <x:c r="J25" s="18" t="str">
        <x:v>He gives gifts. He never mentions the cost</x:v>
      </x:c>
      <x:c r="K25" s="18" t="str">
        <x:v>Hades</x:v>
      </x:c>
      <x:c r="L25" s="17" t="str">
        <x:v>c061</x:v>
      </x:c>
    </x:row>
    <x:row r="26" ht="42" customHeight="1">
      <x:c r="A26" s="21" t="n">
        <x:v>8</x:v>
      </x:c>
      <x:c r="B26" s="14" t="str">
        <x:v>Cthulhu</x:v>
      </x:c>
      <x:c r="C26" s="23" t="str">
        <x:f>D26&amp;"/"&amp;E26</x:f>
        <x:v>8/8</x:v>
      </x:c>
      <x:c r="D26" s="21" t="n">
        <x:v>8</x:v>
      </x:c>
      <x:c r="E26" s="21" t="n">
        <x:v>8</x:v>
      </x:c>
      <x:c r="F26" s="23" t="str">
        <x:v>Rare</x:v>
      </x:c>
      <x:c r="G26" s="23" t="str">
        <x:v>Magic</x:v>
      </x:c>
      <x:c r="H26" s="23" t="str">
        <x:v>Neutral</x:v>
      </x:c>
      <x:c r="I26" s="13" t="str">
        <x:v>Chained. Passive: Immune to Tech minions</x:v>
      </x:c>
      <x:c r="J26" s="13" t="str">
        <x:v>He dreams</x:v>
      </x:c>
      <x:c r="K26" s="13" t="str">
        <x:v>Myth</x:v>
      </x:c>
      <x:c r="L26" s="12" t="str">
        <x:v>c136</x:v>
      </x:c>
    </x:row>
    <x:row r="27" ht="44" customHeight="1">
      <x:c r="A27" s="22" t="n">
        <x:v>8</x:v>
      </x:c>
      <x:c r="B27" s="19" t="str">
        <x:v>Doom Slayer</x:v>
      </x:c>
      <x:c r="C27" s="24" t="str">
        <x:f>D27&amp;"/"&amp;E27</x:f>
        <x:v>3/8</x:v>
      </x:c>
      <x:c r="D27" s="22" t="n">
        <x:v>3</x:v>
      </x:c>
      <x:c r="E27" s="22" t="n">
        <x:v>8</x:v>
      </x:c>
      <x:c r="F27" s="24" t="str">
        <x:v>Epic</x:v>
      </x:c>
      <x:c r="G27" s="24" t="str">
        <x:v>Tech</x:v>
      </x:c>
      <x:c r="H27" s="24" t="str">
        <x:v>Good</x:v>
      </x:c>
      <x:c r="I27" s="18" t="str">
        <x:v>Passive: Deal triple damage to Evil minions. Whenever Doom Slayer kills an Evil minion, heal him for 3 HP</x:v>
      </x:c>
      <x:c r="J27" s="18" t="str">
        <x:v>He cleaned Hell and came back.</x:v>
      </x:c>
      <x:c r="K27" s="18" t="str">
        <x:v>Doom</x:v>
      </x:c>
      <x:c r="L27" s="17" t="str">
        <x:v>c016</x:v>
      </x:c>
    </x:row>
    <x:row r="28" ht="42" customHeight="1">
      <x:c r="A28" s="21" t="n">
        <x:v>8</x:v>
      </x:c>
      <x:c r="B28" s="14" t="str">
        <x:v>Escanor "The One"</x:v>
      </x:c>
      <x:c r="C28" s="23" t="str">
        <x:f>D28&amp;"/"&amp;E28</x:f>
        <x:v>8/4</x:v>
      </x:c>
      <x:c r="D28" s="21" t="n">
        <x:v>8</x:v>
      </x:c>
      <x:c r="E28" s="21" t="n">
        <x:v>4</x:v>
      </x:c>
      <x:c r="F28" s="23" t="str">
        <x:v>Mythic</x:v>
      </x:c>
      <x:c r="G28" s="23" t="str">
        <x:v>Magic</x:v>
      </x:c>
      <x:c r="H28" s="23" t="str">
        <x:v>Good</x:v>
      </x:c>
      <x:c r="I28" s="13" t="str">
        <x:v>Battlecry: Double your other friendly minions attack</x:v>
      </x:c>
      <x:c r="J28" s="13" t="str">
        <x:v>The Sun, incarnated</x:v>
      </x:c>
      <x:c r="K28" s="13" t="str">
        <x:v>Seven Deadly Sins</x:v>
      </x:c>
      <x:c r="L28" s="12" t="str">
        <x:v>c047</x:v>
      </x:c>
    </x:row>
    <x:row r="29" ht="42" customHeight="1">
      <x:c r="A29" s="22" t="n">
        <x:v>8</x:v>
      </x:c>
      <x:c r="B29" s="19" t="str">
        <x:v>Gilgamesh</x:v>
      </x:c>
      <x:c r="C29" s="24" t="str">
        <x:f>D29&amp;"/"&amp;E29</x:f>
        <x:v>5/5</x:v>
      </x:c>
      <x:c r="D29" s="22" t="n">
        <x:v>5</x:v>
      </x:c>
      <x:c r="E29" s="22" t="n">
        <x:v>5</x:v>
      </x:c>
      <x:c r="F29" s="24" t="str">
        <x:v>Legendary</x:v>
      </x:c>
      <x:c r="G29" s="24" t="str">
        <x:v>Magic</x:v>
      </x:c>
      <x:c r="H29" s="24" t="str">
        <x:v>Evil</x:v>
      </x:c>
      <x:c r="I29" s="18" t="str">
        <x:v>Battlecry: Equip a random Ascension Relic</x:v>
      </x:c>
      <x:c r="J29" s="18" t="str">
        <x:v>Unworthy.</x:v>
      </x:c>
      <x:c r="K29" s="18" t="str">
        <x:v>Fate</x:v>
      </x:c>
      <x:c r="L29" s="17" t="str">
        <x:v>c019</x:v>
      </x:c>
    </x:row>
    <x:row r="30" ht="42" customHeight="1">
      <x:c r="A30" s="21" t="n">
        <x:v>8</x:v>
      </x:c>
      <x:c r="B30" s="14" t="str">
        <x:v>Gol D. Roger</x:v>
      </x:c>
      <x:c r="C30" s="23" t="str">
        <x:f>D30&amp;"/"&amp;E30</x:f>
        <x:v>6/5</x:v>
      </x:c>
      <x:c r="D30" s="21" t="n">
        <x:v>6</x:v>
      </x:c>
      <x:c r="E30" s="21" t="n">
        <x:v>5</x:v>
      </x:c>
      <x:c r="F30" s="23" t="str">
        <x:v>Mythic</x:v>
      </x:c>
      <x:c r="G30" s="23" t="str">
        <x:v>Magic</x:v>
      </x:c>
      <x:c r="H30" s="23" t="str">
        <x:v>Neutral</x:v>
      </x:c>
      <x:c r="I30" s="13" t="str">
        <x:v>Battlecry: Choose 1 of 3 Ascension Relics. Add it to your hand</x:v>
      </x:c>
      <x:c r="J30" s="13" t="str">
        <x:v>He has already won.</x:v>
      </x:c>
      <x:c r="K30" s="13" t="str">
        <x:v>One Piece</x:v>
      </x:c>
      <x:c r="L30" s="12" t="str">
        <x:v>c017</x:v>
      </x:c>
    </x:row>
    <x:row r="31" ht="42" customHeight="1">
      <x:c r="A31" s="22" t="n">
        <x:v>8</x:v>
      </x:c>
      <x:c r="B31" s="19" t="str">
        <x:v>Kaido</x:v>
      </x:c>
      <x:c r="C31" s="24" t="str">
        <x:f>D31&amp;"/"&amp;E31</x:f>
        <x:v>5/5</x:v>
      </x:c>
      <x:c r="D31" s="22" t="n">
        <x:v>5</x:v>
      </x:c>
      <x:c r="E31" s="22" t="n">
        <x:v>5</x:v>
      </x:c>
      <x:c r="F31" s="24" t="str">
        <x:v>Legendary</x:v>
      </x:c>
      <x:c r="G31" s="24" t="str">
        <x:v>Nature</x:v>
      </x:c>
      <x:c r="H31" s="24" t="str">
        <x:v>Evil</x:v>
      </x:c>
      <x:c r="I31" s="18" t="str">
        <x:v>Battlecry: Destroy an enemy Taunt minion</x:v>
      </x:c>
      <x:c r="J31" s="18" t="str">
        <x:v>Rules of the seas</x:v>
      </x:c>
      <x:c r="K31" s="18" t="str">
        <x:v>One Piece</x:v>
      </x:c>
      <x:c r="L31" s="17" t="str">
        <x:v>c058</x:v>
      </x:c>
    </x:row>
    <x:row r="32" ht="44" customHeight="1">
      <x:c r="A32" s="21" t="n">
        <x:v>8</x:v>
      </x:c>
      <x:c r="B32" s="14" t="str">
        <x:v>Korosensei</x:v>
      </x:c>
      <x:c r="C32" s="23" t="str">
        <x:f>D32&amp;"/"&amp;E32</x:f>
        <x:v>4/4</x:v>
      </x:c>
      <x:c r="D32" s="21" t="n">
        <x:v>4</x:v>
      </x:c>
      <x:c r="E32" s="21" t="n">
        <x:v>4</x:v>
      </x:c>
      <x:c r="F32" s="23" t="str">
        <x:v>Legendary</x:v>
      </x:c>
      <x:c r="G32" s="23" t="str">
        <x:v>Nature</x:v>
      </x:c>
      <x:c r="H32" s="23" t="str">
        <x:v>Neutral</x:v>
      </x:c>
      <x:c r="I32" s="13" t="str">
        <x:v>Passive: Evade 20% of attacks. Can only be damaged by ATK of 4 and higher</x:v>
      </x:c>
      <x:c r="J32" s="13" t="str">
        <x:v>Mach 20</x:v>
      </x:c>
      <x:c r="K32" s="13" t="str">
        <x:v>Assasination Classroom</x:v>
      </x:c>
      <x:c r="L32" s="12" t="str">
        <x:v>c059</x:v>
      </x:c>
    </x:row>
    <x:row r="33" ht="42" customHeight="1">
      <x:c r="A33" s="22" t="n">
        <x:v>8</x:v>
      </x:c>
      <x:c r="B33" s="19" t="str">
        <x:v>Lelouch Lamperouge</x:v>
      </x:c>
      <x:c r="C33" s="24" t="str">
        <x:f>D33&amp;"/"&amp;E33</x:f>
        <x:v>1/1</x:v>
      </x:c>
      <x:c r="D33" s="22" t="n">
        <x:v>1</x:v>
      </x:c>
      <x:c r="E33" s="22" t="n">
        <x:v>1</x:v>
      </x:c>
      <x:c r="F33" s="24" t="str">
        <x:v>Legendary</x:v>
      </x:c>
      <x:c r="G33" s="24" t="str">
        <x:v>Magic</x:v>
      </x:c>
      <x:c r="H33" s="24" t="str">
        <x:v>Neutral</x:v>
      </x:c>
      <x:c r="I33" s="18" t="str">
        <x:v>Battlecry: Gain control of an enemy minion</x:v>
      </x:c>
      <x:c r="J33" s="18" t="str">
        <x:v>Obey</x:v>
      </x:c>
      <x:c r="K33" s="18" t="str">
        <x:v>Code Geass</x:v>
      </x:c>
      <x:c r="L33" s="17" t="str">
        <x:v>c048</x:v>
      </x:c>
    </x:row>
    <x:row r="34" ht="42" customHeight="1">
      <x:c r="A34" s="21" t="n">
        <x:v>8</x:v>
      </x:c>
      <x:c r="B34" s="14" t="str">
        <x:v>Light Yagami</x:v>
      </x:c>
      <x:c r="C34" s="23" t="str">
        <x:f>D34&amp;"/"&amp;E34</x:f>
        <x:v>4/3</x:v>
      </x:c>
      <x:c r="D34" s="21" t="n">
        <x:v>4</x:v>
      </x:c>
      <x:c r="E34" s="21" t="n">
        <x:v>3</x:v>
      </x:c>
      <x:c r="F34" s="23" t="str">
        <x:v>Mythic</x:v>
      </x:c>
      <x:c r="G34" s="23" t="str">
        <x:v>Magic</x:v>
      </x:c>
      <x:c r="H34" s="23" t="str">
        <x:v>Evil</x:v>
      </x:c>
      <x:c r="I34" s="13" t="str">
        <x:v>Battlecry: Destroy an enemy Nature minion</x:v>
      </x:c>
      <x:c r="J34" s="13" t="str">
        <x:v>Ryuk, come help.</x:v>
      </x:c>
      <x:c r="K34" s="13" t="str">
        <x:v>Death Note</x:v>
      </x:c>
      <x:c r="L34" s="12" t="str">
        <x:v>c021</x:v>
      </x:c>
    </x:row>
    <x:row r="35" ht="42" customHeight="1">
      <x:c r="A35" s="22" t="n">
        <x:v>8</x:v>
      </x:c>
      <x:c r="B35" s="19" t="str">
        <x:v>Marshall D. Teach</x:v>
      </x:c>
      <x:c r="C35" s="24" t="str">
        <x:f>D35&amp;"/"&amp;E35</x:f>
        <x:v>5/5</x:v>
      </x:c>
      <x:c r="D35" s="22" t="n">
        <x:v>5</x:v>
      </x:c>
      <x:c r="E35" s="22" t="n">
        <x:v>5</x:v>
      </x:c>
      <x:c r="F35" s="24" t="str">
        <x:v>Mythic</x:v>
      </x:c>
      <x:c r="G35" s="24" t="str">
        <x:v>Magic</x:v>
      </x:c>
      <x:c r="H35" s="24" t="str">
        <x:v>Evil</x:v>
      </x:c>
      <x:c r="I35" s="18" t="str">
        <x:v>Ongoing: Copy a passive from 1 friendly and 1 enemy minion</x:v>
      </x:c>
      <x:c r="J35" s="18" t="str">
        <x:v>Steal steal steal.</x:v>
      </x:c>
      <x:c r="K35" s="18" t="str">
        <x:v>One Piece</x:v>
      </x:c>
      <x:c r="L35" s="17" t="str">
        <x:v>c018</x:v>
      </x:c>
    </x:row>
    <x:row r="36" ht="42" customHeight="1">
      <x:c r="A36" s="21" t="n">
        <x:v>8</x:v>
      </x:c>
      <x:c r="B36" s="14" t="str">
        <x:v>Meteor</x:v>
      </x:c>
      <x:c r="C36" s="23" t="str">
        <x:f>D36&amp;"/"&amp;E36</x:f>
        <x:v>4/3</x:v>
      </x:c>
      <x:c r="D36" s="21" t="n">
        <x:v>4</x:v>
      </x:c>
      <x:c r="E36" s="21" t="n">
        <x:v>3</x:v>
      </x:c>
      <x:c r="F36" s="23" t="str">
        <x:v>Rare</x:v>
      </x:c>
      <x:c r="G36" s="23" t="str">
        <x:v>Nature</x:v>
      </x:c>
      <x:c r="H36" s="23" t="str">
        <x:v>Neutral</x:v>
      </x:c>
      <x:c r="I36" s="13" t="str">
        <x:v>Battlecry: Deal 4 damage to all other minions</x:v>
      </x:c>
      <x:c r="J36" s="13" t="str">
        <x:v>It was never going to miss.</x:v>
      </x:c>
      <x:c r="K36" s="13" t="str">
        <x:v>Basic</x:v>
      </x:c>
      <x:c r="L36" s="12" t="str">
        <x:v>c176</x:v>
      </x:c>
    </x:row>
    <x:row r="37" ht="44" customHeight="1">
      <x:c r="A37" s="22" t="n">
        <x:v>8</x:v>
      </x:c>
      <x:c r="B37" s="19" t="str">
        <x:v>Monkey D. Luffy</x:v>
      </x:c>
      <x:c r="C37" s="24" t="str">
        <x:f>D37&amp;"/"&amp;E37</x:f>
        <x:v>6/4</x:v>
      </x:c>
      <x:c r="D37" s="22" t="n">
        <x:v>6</x:v>
      </x:c>
      <x:c r="E37" s="22" t="n">
        <x:v>4</x:v>
      </x:c>
      <x:c r="F37" s="24" t="str">
        <x:v>Legendary</x:v>
      </x:c>
      <x:c r="G37" s="24" t="str">
        <x:v>Magic</x:v>
      </x:c>
      <x:c r="H37" s="24" t="str">
        <x:v>Good</x:v>
      </x:c>
      <x:c r="I37" s="18" t="str">
        <x:v>Battlecry: Free all friendly Chained minions. They may attack immediately and gain Divine Shield</x:v>
      </x:c>
      <x:c r="J37" s="18" t="str">
        <x:v>Reality bends; laughter reigns</x:v>
      </x:c>
      <x:c r="K37" s="18" t="str">
        <x:v>One Piece</x:v>
      </x:c>
      <x:c r="L37" s="17" t="str">
        <x:v>c060</x:v>
      </x:c>
    </x:row>
    <x:row r="38" ht="44" customHeight="1">
      <x:c r="A38" s="21" t="n">
        <x:v>8</x:v>
      </x:c>
      <x:c r="B38" s="14" t="str">
        <x:v>Naruto</x:v>
      </x:c>
      <x:c r="C38" s="23" t="str">
        <x:f>D38&amp;"/"&amp;E38</x:f>
        <x:v>2/2</x:v>
      </x:c>
      <x:c r="D38" s="21" t="n">
        <x:v>2</x:v>
      </x:c>
      <x:c r="E38" s="21" t="n">
        <x:v>2</x:v>
      </x:c>
      <x:c r="F38" s="23" t="str">
        <x:v>Legendary</x:v>
      </x:c>
      <x:c r="G38" s="23" t="str">
        <x:v>Magic</x:v>
      </x:c>
      <x:c r="H38" s="23" t="str">
        <x:v>Good</x:v>
      </x:c>
      <x:c r="I38" s="13" t="str">
        <x:v>Battlecry: Fill your board with 2/2 Shadow Clones in empty friendly slots</x:v>
      </x:c>
      <x:c r="J38" s="13" t="str">
        <x:v>A thousand bodies, one will.</x:v>
      </x:c>
      <x:c r="K38" s="13" t="str">
        <x:v>Naruto</x:v>
      </x:c>
      <x:c r="L38" s="12" t="str">
        <x:v>c183</x:v>
      </x:c>
    </x:row>
    <x:row r="39" ht="42" customHeight="1">
      <x:c r="A39" s="22" t="n">
        <x:v>8</x:v>
      </x:c>
      <x:c r="B39" s="19" t="str">
        <x:v>S-Class Heroes</x:v>
      </x:c>
      <x:c r="C39" s="24" t="str">
        <x:f>D39&amp;"/"&amp;E39</x:f>
        <x:v>4/7</x:v>
      </x:c>
      <x:c r="D39" s="22" t="n">
        <x:v>4</x:v>
      </x:c>
      <x:c r="E39" s="22" t="n">
        <x:v>7</x:v>
      </x:c>
      <x:c r="F39" s="24" t="str">
        <x:v>Epic</x:v>
      </x:c>
      <x:c r="G39" s="24" t="str">
        <x:v>ALL</x:v>
      </x:c>
      <x:c r="H39" s="24" t="str">
        <x:v>Good</x:v>
      </x:c>
      <x:c r="I39" s="18" t="str">
        <x:v>Ongoing: Give +2/+2 to all Good minions</x:v>
      </x:c>
      <x:c r="J39" s="18" t="str">
        <x:v>The strongest team</x:v>
      </x:c>
      <x:c r="K39" s="18" t="str">
        <x:v>OPM</x:v>
      </x:c>
      <x:c r="L39" s="17" t="str">
        <x:v>c062</x:v>
      </x:c>
    </x:row>
    <x:row r="40" ht="60" customHeight="1">
      <x:c r="A40" s="21" t="n">
        <x:v>8</x:v>
      </x:c>
      <x:c r="B40" s="14" t="str">
        <x:v>Seven Deadly Sins</x:v>
      </x:c>
      <x:c r="C40" s="23" t="str">
        <x:f>D40&amp;"/"&amp;E40</x:f>
        <x:v>4/5</x:v>
      </x:c>
      <x:c r="D40" s="21" t="n">
        <x:v>4</x:v>
      </x:c>
      <x:c r="E40" s="21" t="n">
        <x:v>5</x:v>
      </x:c>
      <x:c r="F40" s="23" t="str">
        <x:v>Epic</x:v>
      </x:c>
      <x:c r="G40" s="23" t="str">
        <x:v>Magic</x:v>
      </x:c>
      <x:c r="H40" s="23" t="str">
        <x:v>Good</x:v>
      </x:c>
      <x:c r="I40" s="13" t="str">
        <x:v>Battlecry: Fill your empty slots with 1/1 Sin minions. Each enters with a different keyword at random: Taunt, Divine Shield, Charge, Chained</x:v>
      </x:c>
      <x:c r="J40" s="13" t="str">
        <x:v>The Magic Number</x:v>
      </x:c>
      <x:c r="K40" s="13" t="str">
        <x:v>Seven Deadly Sins</x:v>
      </x:c>
      <x:c r="L40" s="12" t="str">
        <x:v>c064</x:v>
      </x:c>
    </x:row>
    <x:row r="41" ht="42" customHeight="1">
      <x:c r="A41" s="22" t="n">
        <x:v>8</x:v>
      </x:c>
      <x:c r="B41" s="19" t="str">
        <x:v>Superman</x:v>
      </x:c>
      <x:c r="C41" s="24" t="str">
        <x:f>D41&amp;"/"&amp;E41</x:f>
        <x:v>6/6</x:v>
      </x:c>
      <x:c r="D41" s="22" t="n">
        <x:v>6</x:v>
      </x:c>
      <x:c r="E41" s="22" t="n">
        <x:v>6</x:v>
      </x:c>
      <x:c r="F41" s="24" t="str">
        <x:v>Epic</x:v>
      </x:c>
      <x:c r="G41" s="24" t="str">
        <x:v>Nature</x:v>
      </x:c>
      <x:c r="H41" s="24" t="str">
        <x:v>Good</x:v>
      </x:c>
      <x:c r="I41" s="18" t="str">
        <x:v>Passive: Friendly Good minions cannot lose more than 3 HP at once</x:v>
      </x:c>
      <x:c r="J41" s="18" t="str">
        <x:v>The heir's son rises.</x:v>
      </x:c>
      <x:c r="K41" s="18" t="str">
        <x:v>DCU</x:v>
      </x:c>
      <x:c r="L41" s="17" t="str">
        <x:v>c020</x:v>
      </x:c>
    </x:row>
    <x:row r="42" ht="42" customHeight="1">
      <x:c r="A42" s="21" t="n">
        <x:v>8</x:v>
      </x:c>
      <x:c r="B42" s="14" t="str">
        <x:v>Whitebeard</x:v>
      </x:c>
      <x:c r="C42" s="23" t="str">
        <x:f>D42&amp;"/"&amp;E42</x:f>
        <x:v>4/3</x:v>
      </x:c>
      <x:c r="D42" s="21" t="n">
        <x:v>4</x:v>
      </x:c>
      <x:c r="E42" s="21" t="n">
        <x:v>3</x:v>
      </x:c>
      <x:c r="F42" s="23" t="str">
        <x:v>Epic</x:v>
      </x:c>
      <x:c r="G42" s="23" t="str">
        <x:v>Magic</x:v>
      </x:c>
      <x:c r="H42" s="23" t="str">
        <x:v>Neutral</x:v>
      </x:c>
      <x:c r="I42" s="13" t="str">
        <x:v>Battlecry: Deal 3 damage to all enemy minions</x:v>
      </x:c>
      <x:c r="J42" s="13" t="str">
        <x:v>Split the World in two</x:v>
      </x:c>
      <x:c r="K42" s="13" t="str">
        <x:v>One Piece</x:v>
      </x:c>
      <x:c r="L42" s="12" t="str">
        <x:v>c065</x:v>
      </x:c>
    </x:row>
    <x:row r="43" ht="42" customHeight="1">
      <x:c r="A43" s="22" t="n">
        <x:v>7</x:v>
      </x:c>
      <x:c r="B43" s="19" t="str">
        <x:v>Aladdin Lamp</x:v>
      </x:c>
      <x:c r="C43" s="24" t="str">
        <x:f>D43&amp;"/"&amp;E43</x:f>
        <x:v>5/4</x:v>
      </x:c>
      <x:c r="D43" s="22" t="n">
        <x:v>5</x:v>
      </x:c>
      <x:c r="E43" s="22" t="n">
        <x:v>4</x:v>
      </x:c>
      <x:c r="F43" s="24" t="str">
        <x:v>Epic</x:v>
      </x:c>
      <x:c r="G43" s="24" t="str">
        <x:v>Magic</x:v>
      </x:c>
      <x:c r="H43" s="24" t="str">
        <x:v>Neutral</x:v>
      </x:c>
      <x:c r="I43" s="18" t="str">
        <x:v>Battlecry: Make a wish</x:v>
      </x:c>
      <x:c r="J43" s="18" t="str">
        <x:v>What does thy wish</x:v>
      </x:c>
      <x:c r="K43" s="18" t="str">
        <x:v>Aladdin</x:v>
      </x:c>
      <x:c r="L43" s="17" t="str">
        <x:v>c072</x:v>
      </x:c>
    </x:row>
    <x:row r="44" ht="42" customHeight="1">
      <x:c r="A44" s="21" t="n">
        <x:v>7</x:v>
      </x:c>
      <x:c r="B44" s="14" t="str">
        <x:v>All for One</x:v>
      </x:c>
      <x:c r="C44" s="23" t="str">
        <x:f>D44&amp;"/"&amp;E44</x:f>
        <x:v>4/5</x:v>
      </x:c>
      <x:c r="D44" s="21" t="n">
        <x:v>4</x:v>
      </x:c>
      <x:c r="E44" s="21" t="n">
        <x:v>5</x:v>
      </x:c>
      <x:c r="F44" s="23" t="str">
        <x:v>Legendary</x:v>
      </x:c>
      <x:c r="G44" s="23" t="str">
        <x:v>Magic</x:v>
      </x:c>
      <x:c r="H44" s="23" t="str">
        <x:v>Evil</x:v>
      </x:c>
      <x:c r="I44" s="13" t="str">
        <x:v>Passive: Copy and enact the Passive of every enemy minion</x:v>
      </x:c>
      <x:c r="J44" s="13" t="str">
        <x:v>A Collector</x:v>
      </x:c>
      <x:c r="K44" s="13" t="str">
        <x:v>MHA</x:v>
      </x:c>
      <x:c r="L44" s="12" t="str">
        <x:v>c071</x:v>
      </x:c>
    </x:row>
    <x:row r="45" ht="42" customHeight="1">
      <x:c r="A45" s="22" t="n">
        <x:v>7</x:v>
      </x:c>
      <x:c r="B45" s="19" t="str">
        <x:v>All Might</x:v>
      </x:c>
      <x:c r="C45" s="24" t="str">
        <x:f>D45&amp;"/"&amp;E45</x:f>
        <x:v>4/5</x:v>
      </x:c>
      <x:c r="D45" s="22" t="n">
        <x:v>4</x:v>
      </x:c>
      <x:c r="E45" s="22" t="n">
        <x:v>5</x:v>
      </x:c>
      <x:c r="F45" s="24" t="str">
        <x:v>Epic</x:v>
      </x:c>
      <x:c r="G45" s="24" t="str">
        <x:v>Magic</x:v>
      </x:c>
      <x:c r="H45" s="24" t="str">
        <x:v>Good</x:v>
      </x:c>
      <x:c r="I45" s="18" t="str">
        <x:v>Passive: While on the board, every enemy minion has -2 ATK</x:v>
      </x:c>
      <x:c r="J45" s="18" t="str">
        <x:v>Number One</x:v>
      </x:c>
      <x:c r="K45" s="18" t="str">
        <x:v>MHA</x:v>
      </x:c>
      <x:c r="L45" s="17" t="str">
        <x:v>c073</x:v>
      </x:c>
    </x:row>
    <x:row r="46" ht="42" customHeight="1">
      <x:c r="A46" s="21" t="n">
        <x:v>7</x:v>
      </x:c>
      <x:c r="B46" s="14" t="str">
        <x:v>Avengers</x:v>
      </x:c>
      <x:c r="C46" s="23" t="str">
        <x:f>D46&amp;"/"&amp;E46</x:f>
        <x:v>4/4</x:v>
      </x:c>
      <x:c r="D46" s="21" t="n">
        <x:v>4</x:v>
      </x:c>
      <x:c r="E46" s="21" t="n">
        <x:v>4</x:v>
      </x:c>
      <x:c r="F46" s="23" t="str">
        <x:v>Legendary</x:v>
      </x:c>
      <x:c r="G46" s="23" t="str">
        <x:v>ALL</x:v>
      </x:c>
      <x:c r="H46" s="23" t="str">
        <x:v>Good</x:v>
      </x:c>
      <x:c r="I46" s="13" t="str">
        <x:v>Passive: Invulnerable as long as you control another Good minion</x:v>
      </x:c>
      <x:c r="J46" s="13" t="str">
        <x:v>When the board breaks, they assemble.</x:v>
      </x:c>
      <x:c r="K46" s="13" t="str">
        <x:v>MCU</x:v>
      </x:c>
      <x:c r="L46" s="12" t="str">
        <x:v>c015</x:v>
      </x:c>
    </x:row>
    <x:row r="47" ht="44" customHeight="1">
      <x:c r="A47" s="22" t="n">
        <x:v>7</x:v>
      </x:c>
      <x:c r="B47" s="19" t="str">
        <x:v>Doctor Strange</x:v>
      </x:c>
      <x:c r="C47" s="24" t="str">
        <x:f>D47&amp;"/"&amp;E47</x:f>
        <x:v>3/3</x:v>
      </x:c>
      <x:c r="D47" s="22" t="n">
        <x:v>3</x:v>
      </x:c>
      <x:c r="E47" s="22" t="n">
        <x:v>3</x:v>
      </x:c>
      <x:c r="F47" s="24" t="str">
        <x:v>Legendary</x:v>
      </x:c>
      <x:c r="G47" s="24" t="str">
        <x:v>Magic</x:v>
      </x:c>
      <x:c r="H47" s="24" t="str">
        <x:v>Good</x:v>
      </x:c>
      <x:c r="I47" s="18" t="str">
        <x:v>Battlecry: Offer a bargain. Your opponent chooses: lose 10 Core HP, lose a random minion, or lose 5 mana next turn</x:v>
      </x:c>
      <x:c r="J47" s="18" t="str">
        <x:v>Magic trumps everything.</x:v>
      </x:c>
      <x:c r="K47" s="18" t="str">
        <x:v>MCU</x:v>
      </x:c>
      <x:c r="L47" s="17" t="str">
        <x:v>c013</x:v>
      </x:c>
    </x:row>
    <x:row r="48" ht="42" customHeight="1">
      <x:c r="A48" s="21" t="n">
        <x:v>7</x:v>
      </x:c>
      <x:c r="B48" s="14" t="str">
        <x:v>Elder Centipede</x:v>
      </x:c>
      <x:c r="C48" s="23" t="str">
        <x:f>D48&amp;"/"&amp;E48</x:f>
        <x:v>5/6</x:v>
      </x:c>
      <x:c r="D48" s="21" t="n">
        <x:v>5</x:v>
      </x:c>
      <x:c r="E48" s="21" t="n">
        <x:v>6</x:v>
      </x:c>
      <x:c r="F48" s="23" t="str">
        <x:v>Rare</x:v>
      </x:c>
      <x:c r="G48" s="23" t="str">
        <x:v>Nature</x:v>
      </x:c>
      <x:c r="H48" s="23" t="str">
        <x:v>Evil</x:v>
      </x:c>
      <x:c r="I48" s="13" t="str">
        <x:v>Ongoing: Gain +2/+2</x:v>
      </x:c>
      <x:c r="J48" s="13" t="str">
        <x:v>Billion year old</x:v>
      </x:c>
      <x:c r="K48" s="13" t="str">
        <x:v>OPM</x:v>
      </x:c>
      <x:c r="L48" s="12" t="str">
        <x:v>c066</x:v>
      </x:c>
    </x:row>
    <x:row r="49" ht="44" customHeight="1">
      <x:c r="A49" s="22" t="n">
        <x:v>7</x:v>
      </x:c>
      <x:c r="B49" s="19" t="str">
        <x:v>G-Man</x:v>
      </x:c>
      <x:c r="C49" s="24" t="str">
        <x:f>D49&amp;"/"&amp;E49</x:f>
        <x:v>3/6</x:v>
      </x:c>
      <x:c r="D49" s="22" t="n">
        <x:v>3</x:v>
      </x:c>
      <x:c r="E49" s="22" t="n">
        <x:v>6</x:v>
      </x:c>
      <x:c r="F49" s="24" t="str">
        <x:v>Epic</x:v>
      </x:c>
      <x:c r="G49" s="24" t="str">
        <x:v>Magic</x:v>
      </x:c>
      <x:c r="H49" s="24" t="str">
        <x:v>Neutral</x:v>
      </x:c>
      <x:c r="I49" s="18" t="str">
        <x:v>Battlecry: Put an enemy minion into stasis - remove it from the board for 2 turns</x:v>
      </x:c>
      <x:c r="J49" s="18" t="str">
        <x:v>Time, Mr. Freeman.</x:v>
      </x:c>
      <x:c r="K49" s="18" t="str">
        <x:v>Half-Life</x:v>
      </x:c>
      <x:c r="L49" s="17" t="str">
        <x:v>c012</x:v>
      </x:c>
    </x:row>
    <x:row r="50" ht="42" customHeight="1">
      <x:c r="A50" s="21" t="n">
        <x:v>7</x:v>
      </x:c>
      <x:c r="B50" s="14" t="str">
        <x:v>Godzilla</x:v>
      </x:c>
      <x:c r="C50" s="23" t="str">
        <x:f>D50&amp;"/"&amp;E50</x:f>
        <x:v>4/5</x:v>
      </x:c>
      <x:c r="D50" s="21" t="n">
        <x:v>4</x:v>
      </x:c>
      <x:c r="E50" s="21" t="n">
        <x:v>5</x:v>
      </x:c>
      <x:c r="F50" s="23" t="str">
        <x:v>Rare</x:v>
      </x:c>
      <x:c r="G50" s="23" t="str">
        <x:v>Nature</x:v>
      </x:c>
      <x:c r="H50" s="23" t="str">
        <x:v>Neutral</x:v>
      </x:c>
      <x:c r="I50" s="13" t="str">
        <x:v>Passive: Deal 2 damage to all enemies each time you take damage</x:v>
      </x:c>
      <x:c r="J50" s="13" t="str">
        <x:v>Laser breathing</x:v>
      </x:c>
      <x:c r="K50" s="13" t="str">
        <x:v>Godzilla</x:v>
      </x:c>
      <x:c r="L50" s="12" t="str">
        <x:v>c076</x:v>
      </x:c>
    </x:row>
    <x:row r="51" ht="44" customHeight="1">
      <x:c r="A51" s="22" t="n">
        <x:v>7</x:v>
      </x:c>
      <x:c r="B51" s="19" t="str">
        <x:v>Grand Master Yoda</x:v>
      </x:c>
      <x:c r="C51" s="24" t="str">
        <x:f>D51&amp;"/"&amp;E51</x:f>
        <x:v>5/5</x:v>
      </x:c>
      <x:c r="D51" s="22" t="n">
        <x:v>5</x:v>
      </x:c>
      <x:c r="E51" s="22" t="n">
        <x:v>5</x:v>
      </x:c>
      <x:c r="F51" s="24" t="str">
        <x:v>Epic</x:v>
      </x:c>
      <x:c r="G51" s="24" t="str">
        <x:v>Magic</x:v>
      </x:c>
      <x:c r="H51" s="24" t="str">
        <x:v>Good</x:v>
      </x:c>
      <x:c r="I51" s="18" t="str">
        <x:v>Cannot attack. Ongoing: Your lowest-ATK friendly minion gains +2/+2</x:v>
      </x:c>
      <x:c r="J51" s="18" t="str">
        <x:v>Nine centuries of learning</x:v>
      </x:c>
      <x:c r="K51" s="18" t="str">
        <x:v>Star Wars</x:v>
      </x:c>
      <x:c r="L51" s="17" t="str">
        <x:v>c074</x:v>
      </x:c>
    </x:row>
    <x:row r="52" ht="42" customHeight="1">
      <x:c r="A52" s="21" t="n">
        <x:v>7</x:v>
      </x:c>
      <x:c r="B52" s="14" t="str">
        <x:v>Isaac Netero</x:v>
      </x:c>
      <x:c r="C52" s="23" t="str">
        <x:f>D52&amp;"/"&amp;E52</x:f>
        <x:v>4/4</x:v>
      </x:c>
      <x:c r="D52" s="21" t="n">
        <x:v>4</x:v>
      </x:c>
      <x:c r="E52" s="21" t="n">
        <x:v>4</x:v>
      </x:c>
      <x:c r="F52" s="23" t="str">
        <x:v>Mythic</x:v>
      </x:c>
      <x:c r="G52" s="23" t="str">
        <x:v>Magic</x:v>
      </x:c>
      <x:c r="H52" s="23" t="str">
        <x:v>Good</x:v>
      </x:c>
      <x:c r="I52" s="13" t="str">
        <x:v>Divine Shield. Deathrattle: Deal 3 damage to all enemy minions</x:v>
      </x:c>
      <x:c r="J52" s="13" t="str">
        <x:v>Each prayer strikes harder than any fist</x:v>
      </x:c>
      <x:c r="K52" s="13" t="str">
        <x:v>HxH</x:v>
      </x:c>
      <x:c r="L52" s="12" t="str">
        <x:v>c069</x:v>
      </x:c>
    </x:row>
    <x:row r="53" ht="44" customHeight="1">
      <x:c r="A53" s="22" t="n">
        <x:v>7</x:v>
      </x:c>
      <x:c r="B53" s="19" t="str">
        <x:v>King</x:v>
      </x:c>
      <x:c r="C53" s="24" t="str">
        <x:f>D53&amp;"/"&amp;E53</x:f>
        <x:v>0/7</x:v>
      </x:c>
      <x:c r="D53" s="22" t="n">
        <x:v>0</x:v>
      </x:c>
      <x:c r="E53" s="22" t="n">
        <x:v>7</x:v>
      </x:c>
      <x:c r="F53" s="24" t="str">
        <x:v>Rare</x:v>
      </x:c>
      <x:c r="G53" s="24" t="str">
        <x:v>Nature</x:v>
      </x:c>
      <x:c r="H53" s="24" t="str">
        <x:v>Neutral</x:v>
      </x:c>
      <x:c r="I53" s="18" t="str">
        <x:v>Cannot attack. Passive: At the start of each enemy turn, a random enemy minion is Attack Locked for that turn</x:v>
      </x:c>
      <x:c r="J53" s="18" t="str">
        <x:v>Luckiest man alive</x:v>
      </x:c>
      <x:c r="K53" s="18" t="str">
        <x:v>OPM</x:v>
      </x:c>
      <x:c r="L53" s="17" t="str">
        <x:v>c077</x:v>
      </x:c>
    </x:row>
    <x:row r="54" ht="42" customHeight="1">
      <x:c r="A54" s="21" t="n">
        <x:v>7</x:v>
      </x:c>
      <x:c r="B54" s="14" t="str">
        <x:v>Kizaru</x:v>
      </x:c>
      <x:c r="C54" s="23" t="str">
        <x:f>D54&amp;"/"&amp;E54</x:f>
        <x:v>4/4</x:v>
      </x:c>
      <x:c r="D54" s="21" t="n">
        <x:v>4</x:v>
      </x:c>
      <x:c r="E54" s="21" t="n">
        <x:v>4</x:v>
      </x:c>
      <x:c r="F54" s="23" t="str">
        <x:v>Legendary</x:v>
      </x:c>
      <x:c r="G54" s="23" t="str">
        <x:v>Magic</x:v>
      </x:c>
      <x:c r="H54" s="23" t="str">
        <x:v>Neutral</x:v>
      </x:c>
      <x:c r="I54" s="13" t="str">
        <x:v>Divine Shield. Ongoing: Gain Divine Shield</x:v>
      </x:c>
      <x:c r="J54" s="13" t="str">
        <x:v>Light logic.</x:v>
      </x:c>
      <x:c r="K54" s="13" t="str">
        <x:v>One Piece</x:v>
      </x:c>
      <x:c r="L54" s="12" t="str">
        <x:v>c014</x:v>
      </x:c>
    </x:row>
    <x:row r="55" ht="42" customHeight="1">
      <x:c r="A55" s="22" t="n">
        <x:v>7</x:v>
      </x:c>
      <x:c r="B55" s="19" t="str">
        <x:v>Silver Surfer</x:v>
      </x:c>
      <x:c r="C55" s="24" t="str">
        <x:f>D55&amp;"/"&amp;E55</x:f>
        <x:v>1/1</x:v>
      </x:c>
      <x:c r="D55" s="22" t="n">
        <x:v>1</x:v>
      </x:c>
      <x:c r="E55" s="22" t="n">
        <x:v>1</x:v>
      </x:c>
      <x:c r="F55" s="24" t="str">
        <x:v>Epic</x:v>
      </x:c>
      <x:c r="G55" s="24" t="str">
        <x:v>Magic</x:v>
      </x:c>
      <x:c r="H55" s="24" t="str">
        <x:v>Neutral</x:v>
      </x:c>
      <x:c r="I55" s="18" t="str">
        <x:v>Deathrattle: Summon Galactus (8/8)</x:v>
      </x:c>
      <x:c r="J55" s="18" t="str">
        <x:v>The tide brings worlds.</x:v>
      </x:c>
      <x:c r="K55" s="18" t="str">
        <x:v>MCU</x:v>
      </x:c>
      <x:c r="L55" s="17" t="str">
        <x:v>c032</x:v>
      </x:c>
    </x:row>
    <x:row r="56" ht="42" customHeight="1">
      <x:c r="A56" s="21" t="n">
        <x:v>7</x:v>
      </x:c>
      <x:c r="B56" s="14" t="str">
        <x:v>Star Destroyer</x:v>
      </x:c>
      <x:c r="C56" s="23" t="str">
        <x:f>D56&amp;"/"&amp;E56</x:f>
        <x:v>5/5</x:v>
      </x:c>
      <x:c r="D56" s="21" t="n">
        <x:v>5</x:v>
      </x:c>
      <x:c r="E56" s="21" t="n">
        <x:v>5</x:v>
      </x:c>
      <x:c r="F56" s="23" t="str">
        <x:v>Rare</x:v>
      </x:c>
      <x:c r="G56" s="23" t="str">
        <x:v>Tech</x:v>
      </x:c>
      <x:c r="H56" s="23" t="str">
        <x:v>Neutral</x:v>
      </x:c>
      <x:c r="I56" s="13" t="str">
        <x:v>Battlecry: Summon two 1/1 TIE Fighters with Charge</x:v>
      </x:c>
      <x:c r="J56" s="13" t="str">
        <x:v>-</x:v>
      </x:c>
      <x:c r="K56" s="13" t="str">
        <x:v>Basic</x:v>
      </x:c>
      <x:c r="L56" s="12" t="str">
        <x:v>c068</x:v>
      </x:c>
    </x:row>
    <x:row r="57" ht="42" customHeight="1">
      <x:c r="A57" s="22" t="n">
        <x:v>7</x:v>
      </x:c>
      <x:c r="B57" s="19" t="str">
        <x:v>The 7 Heroic Spirits</x:v>
      </x:c>
      <x:c r="C57" s="24" t="str">
        <x:f>D57&amp;"/"&amp;E57</x:f>
        <x:v>2/2</x:v>
      </x:c>
      <x:c r="D57" s="22" t="n">
        <x:v>2</x:v>
      </x:c>
      <x:c r="E57" s="22" t="n">
        <x:v>2</x:v>
      </x:c>
      <x:c r="F57" s="24" t="str">
        <x:v>Epic</x:v>
      </x:c>
      <x:c r="G57" s="24" t="str">
        <x:v>Magic</x:v>
      </x:c>
      <x:c r="H57" s="24" t="str">
        <x:v>Neutral</x:v>
      </x:c>
      <x:c r="I57" s="18" t="str">
        <x:v>Battlecry: All your other minions gain a random Ascension Relic</x:v>
      </x:c>
      <x:c r="J57" s="18" t="str">
        <x:v>Legends reborn</x:v>
      </x:c>
      <x:c r="K57" s="18" t="str">
        <x:v>Fate</x:v>
      </x:c>
      <x:c r="L57" s="17" t="str">
        <x:v>c101</x:v>
      </x:c>
    </x:row>
    <x:row r="58" ht="44" customHeight="1">
      <x:c r="A58" s="21" t="n">
        <x:v>7</x:v>
      </x:c>
      <x:c r="B58" s="14" t="str">
        <x:v>Ultron Prime</x:v>
      </x:c>
      <x:c r="C58" s="23" t="str">
        <x:f>D58&amp;"/"&amp;E58</x:f>
        <x:v>5/3</x:v>
      </x:c>
      <x:c r="D58" s="21" t="n">
        <x:v>5</x:v>
      </x:c>
      <x:c r="E58" s="21" t="n">
        <x:v>3</x:v>
      </x:c>
      <x:c r="F58" s="23" t="str">
        <x:v>Epic</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Mythic</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4" customHeight="1">
      <x:c r="A61" s="22" t="n">
        <x:v>6</x:v>
      </x:c>
      <x:c r="B61" s="19" t="str">
        <x:v>Dominion Authority</x:v>
      </x:c>
      <x:c r="C61" s="24" t="str">
        <x:f>D61&amp;"/"&amp;E61</x:f>
        <x:v>4/5</x:v>
      </x:c>
      <x:c r="D61" s="22" t="n">
        <x:v>4</x:v>
      </x:c>
      <x:c r="E61" s="22" t="n">
        <x:v>5</x:v>
      </x:c>
      <x:c r="F61" s="24" t="str">
        <x:v>Rare</x:v>
      </x:c>
      <x:c r="G61" s="24" t="str">
        <x:v>Magic</x:v>
      </x:c>
      <x:c r="H61" s="24" t="str">
        <x:v>Good</x:v>
      </x:c>
      <x:c r="I61" s="18" t="str">
        <x:v>Passive: Friendly minions cannot be mind-controlled, returned to hand, or transformed by enemy effects</x:v>
      </x:c>
      <x:c r="J61" s="18" t="str">
        <x:v>Loyalty</x:v>
      </x:c>
      <x:c r="K61" s="18" t="str">
        <x:v>Overlord</x:v>
      </x:c>
      <x:c r="L61" s="17" t="str">
        <x:v>c086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4" customHeight="1">
      <x:c r="A63" s="22" t="n">
        <x:v>6</x:v>
      </x:c>
      <x:c r="B63" s="19" t="str">
        <x:v>Floor Guardians</x:v>
      </x:c>
      <x:c r="C63" s="24" t="str">
        <x:f>D63&amp;"/"&amp;E63</x:f>
        <x:v>4/4</x:v>
      </x:c>
      <x:c r="D63" s="22" t="n">
        <x:v>4</x:v>
      </x:c>
      <x:c r="E63" s="22" t="n">
        <x:v>4</x:v>
      </x:c>
      <x:c r="F63" s="24" t="str">
        <x:v>Epic</x:v>
      </x:c>
      <x:c r="G63" s="24" t="str">
        <x:v>Magic</x:v>
      </x:c>
      <x:c r="H63" s="24" t="str">
        <x:v>Evil</x:v>
      </x:c>
      <x:c r="I63" s="18" t="str">
        <x:v>Battlecry: Choose 1 friendly minion board slot. Minions on that board slot gain +1/+1 at the start of your turn</x:v>
      </x:c>
      <x:c r="J63" s="18" t="str">
        <x:v>They do not guard the floors—they own them</x:v>
      </x:c>
      <x:c r="K63" s="18" t="str">
        <x:v>Overlord</x:v>
      </x:c>
      <x:c r="L63" s="17" t="str">
        <x:v>c083</x:v>
      </x:c>
    </x:row>
    <x:row r="64" ht="42" customHeight="1">
      <x:c r="A64" s="21" t="n">
        <x:v>6</x:v>
      </x:c>
      <x:c r="B64" s="14" t="str">
        <x:v>Founding Titan</x:v>
      </x:c>
      <x:c r="C64" s="23" t="str">
        <x:f>D64&amp;"/"&amp;E64</x:f>
        <x:v>4/5</x:v>
      </x:c>
      <x:c r="D64" s="21" t="n">
        <x:v>4</x:v>
      </x:c>
      <x:c r="E64" s="21" t="n">
        <x:v>5</x:v>
      </x:c>
      <x:c r="F64" s="23" t="str">
        <x:v>Rare</x:v>
      </x:c>
      <x:c r="G64" s="23" t="str">
        <x:v>Nature</x:v>
      </x:c>
      <x:c r="H64" s="23" t="str">
        <x:v>Evil</x:v>
      </x:c>
      <x:c r="I64" s="13" t="str">
        <x:v>Taunt. Passive: All friendly minions have Taunt</x:v>
      </x:c>
      <x:c r="J64" s="13" t="str">
        <x:v>The walls were never meant to protect</x:v>
      </x:c>
      <x:c r="K64" s="13" t="str">
        <x:v>Attack on Titan</x:v>
      </x:c>
      <x:c r="L64" s="12" t="str">
        <x:v>c087</x:v>
      </x:c>
    </x:row>
    <x:row r="65" ht="44" customHeight="1">
      <x:c r="A65" s="22" t="n">
        <x:v>6</x:v>
      </x:c>
      <x:c r="B65" s="19" t="str">
        <x:v>Frieren</x:v>
      </x:c>
      <x:c r="C65" s="24" t="str">
        <x:f>D65&amp;"/"&amp;E65</x:f>
        <x:v>2/5</x:v>
      </x:c>
      <x:c r="D65" s="22" t="n">
        <x:v>2</x:v>
      </x:c>
      <x:c r="E65" s="22" t="n">
        <x:v>5</x:v>
      </x:c>
      <x:c r="F65" s="24" t="str">
        <x:v>Epic</x:v>
      </x:c>
      <x:c r="G65" s="24" t="str">
        <x:v>Magic</x:v>
      </x:c>
      <x:c r="H65" s="24" t="str">
        <x:v>Good</x:v>
      </x:c>
      <x:c r="I65" s="18" t="str">
        <x:v>Passive: The first time you cast a relic each turn, discover another relic</x:v>
      </x:c>
      <x:c r="J65" s="18" t="str">
        <x:v>Every spell is worth remembering.</x:v>
      </x:c>
      <x:c r="K65" s="18" t="str">
        <x:v>Frieren: Beyond Journey's End</x:v>
      </x:c>
      <x:c r="L65" s="17" t="str">
        <x:v>c184</x:v>
      </x:c>
    </x:row>
    <x:row r="66" ht="44" customHeight="1">
      <x:c r="A66" s="21" t="n">
        <x:v>6</x:v>
      </x:c>
      <x:c r="B66" s="14" t="str">
        <x:v>Gandalf the White</x:v>
      </x:c>
      <x:c r="C66" s="23" t="str">
        <x:f>D66&amp;"/"&amp;E66</x:f>
        <x:v>2/2</x:v>
      </x:c>
      <x:c r="D66" s="21" t="n">
        <x:v>2</x:v>
      </x:c>
      <x:c r="E66" s="21" t="n">
        <x:v>2</x:v>
      </x:c>
      <x:c r="F66" s="23" t="str">
        <x:v>Legendary</x:v>
      </x:c>
      <x:c r="G66" s="23" t="str">
        <x:v>Magic</x:v>
      </x:c>
      <x:c r="H66" s="23" t="str">
        <x:v>Good</x:v>
      </x:c>
      <x:c r="I66" s="13" t="str">
        <x:v>Divine Shield. Battlecry: Give all friendly Good minions Divine Shield</x:v>
      </x:c>
      <x:c r="J66" s="13" t="str">
        <x:v>An incarnated angel</x:v>
      </x:c>
      <x:c r="K66" s="13" t="str">
        <x:v>Lord of the Rings</x:v>
      </x:c>
      <x:c r="L66" s="12" t="str">
        <x:v>c080</x:v>
      </x:c>
    </x:row>
    <x:row r="67" ht="44" customHeight="1">
      <x:c r="A67" s="22" t="n">
        <x:v>6</x:v>
      </x:c>
      <x:c r="B67" s="19" t="str">
        <x:v>Homelander</x:v>
      </x:c>
      <x:c r="C67" s="24" t="str">
        <x:f>D67&amp;"/"&amp;E67</x:f>
        <x:v>4/4</x:v>
      </x:c>
      <x:c r="D67" s="22" t="n">
        <x:v>4</x:v>
      </x:c>
      <x:c r="E67" s="22" t="n">
        <x:v>4</x:v>
      </x:c>
      <x:c r="F67" s="24" t="str">
        <x:v>Rare</x:v>
      </x:c>
      <x:c r="G67" s="24" t="str">
        <x:v>Nature</x:v>
      </x:c>
      <x:c r="H67" s="24" t="str">
        <x:v>Evil</x:v>
      </x:c>
      <x:c r="I67" s="18" t="str">
        <x:v>Passive: This minion is Invulnerable if it is your only minion on the board</x:v>
      </x:c>
      <x:c r="J67" s="18" t="str">
        <x:v>Central casting</x:v>
      </x:c>
      <x:c r="K67" s="18" t="str">
        <x:v>The Boys</x:v>
      </x:c>
      <x:c r="L67" s="17" t="str">
        <x:v>c088</x:v>
      </x:c>
    </x:row>
    <x:row r="68" ht="44" customHeight="1">
      <x:c r="A68" s="21" t="n">
        <x:v>6</x:v>
      </x:c>
      <x:c r="B68" s="14" t="str">
        <x:v>Kratos</x:v>
      </x:c>
      <x:c r="C68" s="23" t="str">
        <x:f>D68&amp;"/"&amp;E68</x:f>
        <x:v>2/6</x:v>
      </x:c>
      <x:c r="D68" s="21" t="n">
        <x:v>2</x:v>
      </x:c>
      <x:c r="E68" s="21" t="n">
        <x:v>6</x:v>
      </x:c>
      <x:c r="F68" s="23" t="str">
        <x:v>Rare</x:v>
      </x:c>
      <x:c r="G68" s="23" t="str">
        <x:v>Magic</x:v>
      </x:c>
      <x:c r="H68" s="23" t="str">
        <x:v>Neutral</x:v>
      </x:c>
      <x:c r="I68" s="13" t="str">
        <x:v>Passive: Your opponent cannot play Ascension Relics or use Hero power</x:v>
      </x:c>
      <x:c r="J68" s="13" t="str">
        <x:v>He killed the gods of his world</x:v>
      </x:c>
      <x:c r="K68" s="13" t="str">
        <x:v>God of War Game</x:v>
      </x:c>
      <x:c r="L68" s="12" t="str">
        <x:v>c089</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4" customHeight="1">
      <x:c r="A70" s="21" t="n">
        <x:v>6</x:v>
      </x:c>
      <x:c r="B70" s="14" t="str">
        <x:v>Meruem</x:v>
      </x:c>
      <x:c r="C70" s="23" t="str">
        <x:f>D70&amp;"/"&amp;E70</x:f>
        <x:v>4/5</x:v>
      </x:c>
      <x:c r="D70" s="21" t="n">
        <x:v>4</x:v>
      </x:c>
      <x:c r="E70" s="21" t="n">
        <x:v>5</x:v>
      </x:c>
      <x:c r="F70" s="23" t="str">
        <x:v>Epic</x:v>
      </x:c>
      <x:c r="G70" s="23" t="str">
        <x:v>Nature</x:v>
      </x:c>
      <x:c r="H70" s="23" t="str">
        <x:v>Neutral</x:v>
      </x:c>
      <x:c r="I70" s="13" t="str">
        <x:v>Passive: Whenever Meruem kills a minion, gain +1/+1 and gain its effects</x:v>
      </x:c>
      <x:c r="J70" s="13" t="str">
        <x:v>Loyalty</x:v>
      </x:c>
      <x:c r="K70" s="13" t="str">
        <x:v>HxH</x:v>
      </x:c>
      <x:c r="L70" s="12" t="str">
        <x:v>c084</x:v>
      </x:c>
    </x:row>
    <x:row r="71" ht="42" customHeight="1">
      <x:c r="A71" s="22" t="n">
        <x:v>6</x:v>
      </x:c>
      <x:c r="B71" s="19" t="str">
        <x:v>Prince Lloyd</x:v>
      </x:c>
      <x:c r="C71" s="24" t="str">
        <x:f>D71&amp;"/"&amp;E71</x:f>
        <x:v>2/2</x:v>
      </x:c>
      <x:c r="D71" s="22" t="n">
        <x:v>2</x:v>
      </x:c>
      <x:c r="E71" s="22" t="n">
        <x:v>2</x:v>
      </x:c>
      <x:c r="F71" s="24" t="str">
        <x:v>Epic</x:v>
      </x:c>
      <x:c r="G71" s="24" t="str">
        <x:v>Magic</x:v>
      </x:c>
      <x:c r="H71" s="24" t="str">
        <x:v>Good</x:v>
      </x:c>
      <x:c r="I71" s="18" t="str">
        <x:v>Divine Shield. Passive: Other friendly minions take 1 less damage</x:v>
      </x:c>
      <x:c r="J71" s="18" t="str">
        <x:v>Magic is all he ever wanted to perfect.</x:v>
      </x:c>
      <x:c r="K71" s="18" t="str">
        <x:v>7th Prince</x:v>
      </x:c>
      <x:c r="L71" s="17" t="str">
        <x:v>c180</x:v>
      </x:c>
    </x:row>
    <x:row r="72" ht="44" customHeight="1">
      <x:c r="A72" s="21" t="n">
        <x:v>6</x:v>
      </x:c>
      <x:c r="B72" s="14" t="str">
        <x:v>Ragnaros</x:v>
      </x:c>
      <x:c r="C72" s="23" t="str">
        <x:f>D72&amp;"/"&amp;E72</x:f>
        <x:v>6/6</x:v>
      </x:c>
      <x:c r="D72" s="21" t="n">
        <x:v>6</x:v>
      </x:c>
      <x:c r="E72" s="21" t="n">
        <x:v>6</x:v>
      </x:c>
      <x:c r="F72" s="23" t="str">
        <x:v>Rare</x:v>
      </x:c>
      <x:c r="G72" s="23" t="str">
        <x:v>Magic</x:v>
      </x:c>
      <x:c r="H72" s="23" t="str">
        <x:v>Evil</x:v>
      </x:c>
      <x:c r="I72" s="13" t="str">
        <x:v>Cannot attack. Ongoing: Deal 3 damage to a random enemy minion or the enemy core</x:v>
      </x:c>
      <x:c r="J72" s="13" t="str">
        <x:v>Summoned. Once again.</x:v>
      </x:c>
      <x:c r="K72" s="13" t="str">
        <x:v>Hearthstone</x:v>
      </x:c>
      <x:c r="L72" s="12" t="str">
        <x:v>c031</x:v>
      </x:c>
    </x:row>
    <x:row r="73" ht="44" customHeight="1">
      <x:c r="A73" s="22" t="n">
        <x:v>6</x:v>
      </x:c>
      <x:c r="B73" s="19" t="str">
        <x:v>Shigaraki</x:v>
      </x:c>
      <x:c r="C73" s="24" t="str">
        <x:f>D73&amp;"/"&amp;E73</x:f>
        <x:v>4/4</x:v>
      </x:c>
      <x:c r="D73" s="22" t="n">
        <x:v>4</x:v>
      </x:c>
      <x:c r="E73" s="22" t="n">
        <x:v>4</x:v>
      </x:c>
      <x:c r="F73" s="24" t="str">
        <x:v>Rare</x:v>
      </x:c>
      <x:c r="G73" s="24" t="str">
        <x:v>Magic</x:v>
      </x:c>
      <x:c r="H73" s="24" t="str">
        <x:v>Evil</x:v>
      </x:c>
      <x:c r="I73" s="18" t="str">
        <x:v>Passive: Whenever Shigaraki damages a minion, mark it. At the start of your next turn, it dies</x:v>
      </x:c>
      <x:c r="J73" s="18" t="str">
        <x:v>Revenge</x:v>
      </x:c>
      <x:c r="K73" s="18" t="str">
        <x:v>MHA</x:v>
      </x:c>
      <x:c r="L73" s="17" t="str">
        <x:v>c090</x:v>
      </x:c>
    </x:row>
    <x:row r="74" ht="42" customHeight="1">
      <x:c r="A74" s="21" t="n">
        <x:v>6</x:v>
      </x:c>
      <x:c r="B74" s="14" t="str">
        <x:v>Sonic</x:v>
      </x:c>
      <x:c r="C74" s="23" t="str">
        <x:f>D74&amp;"/"&amp;E74</x:f>
        <x:v>6/3</x:v>
      </x:c>
      <x:c r="D74" s="21" t="n">
        <x:v>6</x:v>
      </x:c>
      <x:c r="E74" s="21" t="n">
        <x:v>3</x:v>
      </x:c>
      <x:c r="F74" s="23" t="str">
        <x:v>Epic</x:v>
      </x:c>
      <x:c r="G74" s="23" t="str">
        <x:v>Nature</x:v>
      </x:c>
      <x:c r="H74" s="23" t="str">
        <x:v>Good</x:v>
      </x:c>
      <x:c r="I74" s="13" t="str">
        <x:v>Charge</x:v>
      </x:c>
      <x:c r="J74" s="13" t="str">
        <x:v>SS</x:v>
      </x:c>
      <x:c r="K74" s="13" t="str">
        <x:v>Sonic The Hedgehog</x:v>
      </x:c>
      <x:c r="L74" s="12" t="str">
        <x:v>c085</x:v>
      </x:c>
    </x:row>
    <x:row r="75" ht="42" customHeight="1">
      <x:c r="A75" s="22" t="n">
        <x:v>6</x:v>
      </x:c>
      <x:c r="B75" s="19" t="str">
        <x:v>Ten Commandments</x:v>
      </x:c>
      <x:c r="C75" s="24" t="str">
        <x:f>D75&amp;"/"&amp;E75</x:f>
        <x:v>3/5</x:v>
      </x:c>
      <x:c r="D75" s="22" t="n">
        <x:v>3</x:v>
      </x:c>
      <x:c r="E75" s="22" t="n">
        <x:v>5</x:v>
      </x:c>
      <x:c r="F75" s="24" t="str">
        <x:v>Rare</x:v>
      </x:c>
      <x:c r="G75" s="24" t="str">
        <x:v>Magic</x:v>
      </x:c>
      <x:c r="H75" s="24" t="str">
        <x:v>Evil</x:v>
      </x:c>
      <x:c r="I75" s="18" t="str">
        <x:v>Passive: The first enemy minion to attack each turn is Chained</x:v>
      </x:c>
      <x:c r="J75" s="18" t="str">
        <x:v>Their reputation preceded them by centuries</x:v>
      </x:c>
      <x:c r="K75" s="18" t="str">
        <x:v>Seven Deadly Sins</x:v>
      </x:c>
      <x:c r="L75" s="17" t="str">
        <x:v>c091</x:v>
      </x:c>
    </x:row>
    <x:row r="76" ht="44" customHeight="1">
      <x:c r="A76" s="21" t="n">
        <x:v>6</x:v>
      </x:c>
      <x:c r="B76" s="14" t="str">
        <x:v>The Mask</x:v>
      </x:c>
      <x:c r="C76" s="23" t="str">
        <x:f>D76&amp;"/"&amp;E76</x:f>
        <x:v>4/3</x:v>
      </x:c>
      <x:c r="D76" s="21" t="n">
        <x:v>4</x:v>
      </x:c>
      <x:c r="E76" s="21" t="n">
        <x:v>3</x:v>
      </x:c>
      <x:c r="F76" s="23" t="str">
        <x:v>Epic</x:v>
      </x:c>
      <x:c r="G76" s="23" t="str">
        <x:v>Magic</x:v>
      </x:c>
      <x:c r="H76" s="23" t="str">
        <x:v>Neutral</x:v>
      </x:c>
      <x:c r="I76" s="13" t="str">
        <x:v>Battlecry: Transform your minions into random ones that cost 1 more mana</x:v>
      </x:c>
      <x:c r="J76" s="13" t="str">
        <x:v>True nature, revealed</x:v>
      </x:c>
      <x:c r="K76" s="13" t="str">
        <x:v>The Mask</x:v>
      </x:c>
      <x:c r="L76" s="12" t="str">
        <x:v>c116</x:v>
      </x:c>
    </x:row>
    <x:row r="77" ht="42" customHeight="1">
      <x:c r="A77" s="22" t="n">
        <x:v>6</x:v>
      </x:c>
      <x:c r="B77" s="19" t="str">
        <x:v>Thirteen Lords of Chaos</x:v>
      </x:c>
      <x:c r="C77" s="24" t="str">
        <x:f>D77&amp;"/"&amp;E77</x:f>
        <x:v>4/2</x:v>
      </x:c>
      <x:c r="D77" s="22" t="n">
        <x:v>4</x:v>
      </x:c>
      <x:c r="E77" s="22" t="n">
        <x:v>2</x:v>
      </x:c>
      <x:c r="F77" s="24" t="str">
        <x:v>Epic</x:v>
      </x:c>
      <x:c r="G77" s="24" t="str">
        <x:v>Magic</x:v>
      </x:c>
      <x:c r="H77" s="24" t="str">
        <x:v>Evil</x:v>
      </x:c>
      <x:c r="I77" s="18" t="str">
        <x:v>Deathrattle: Summon Drakath (5/3)</x:v>
      </x:c>
      <x:c r="J77" s="18" t="str">
        <x:v>Reality picks a side.</x:v>
      </x:c>
      <x:c r="K77" s="18" t="str">
        <x:v>AQW</x:v>
      </x:c>
      <x:c r="L77" s="17" t="str">
        <x:v>c011</x:v>
      </x:c>
    </x:row>
    <x:row r="78" ht="42" customHeight="1">
      <x:c r="A78" s="21" t="n">
        <x:v>6</x:v>
      </x:c>
      <x:c r="B78" s="14" t="str">
        <x:v>Time Bomb</x:v>
      </x:c>
      <x:c r="C78" s="23" t="str">
        <x:f>D78&amp;"/"&amp;E78</x:f>
        <x:v>0/9</x:v>
      </x:c>
      <x:c r="D78" s="21" t="n">
        <x:v>0</x:v>
      </x:c>
      <x:c r="E78" s="21" t="n">
        <x:v>9</x:v>
      </x:c>
      <x:c r="F78" s="23" t="str">
        <x:v>Legendary</x:v>
      </x:c>
      <x:c r="G78" s="23" t="str">
        <x:v>Tech</x:v>
      </x:c>
      <x:c r="H78" s="23" t="str">
        <x:v>Neutral</x:v>
      </x:c>
      <x:c r="I78" s="13" t="str">
        <x:v>Ongoing: Destroy ALL minions</x:v>
      </x:c>
      <x:c r="J78" s="13" t="str">
        <x:v>Timer is T-1.</x:v>
      </x:c>
      <x:c r="K78" s="13" t="str">
        <x:v>Loki</x:v>
      </x:c>
      <x:c r="L78" s="12" t="str">
        <x:v>c009</x:v>
      </x:c>
    </x:row>
    <x:row r="79" ht="42" customHeight="1">
      <x:c r="A79" s="22" t="n">
        <x:v>6</x:v>
      </x:c>
      <x:c r="B79" s="19" t="str">
        <x:v>Toji</x:v>
      </x:c>
      <x:c r="C79" s="24" t="str">
        <x:f>D79&amp;"/"&amp;E79</x:f>
        <x:v>5/3</x:v>
      </x:c>
      <x:c r="D79" s="22" t="n">
        <x:v>5</x:v>
      </x:c>
      <x:c r="E79" s="22" t="n">
        <x:v>3</x:v>
      </x:c>
      <x:c r="F79" s="24" t="str">
        <x:v>Epic</x:v>
      </x:c>
      <x:c r="G79" s="24" t="str">
        <x:v>Nature</x:v>
      </x:c>
      <x:c r="H79" s="24" t="str">
        <x:v>Neutral</x:v>
      </x:c>
      <x:c r="I79" s="18" t="str">
        <x:v>Passive: Immune to Magic minions</x:v>
      </x:c>
      <x:c r="J79" s="18" t="str">
        <x:v>No magic. No mercy.</x:v>
      </x:c>
      <x:c r="K79" s="18" t="str">
        <x:v>Jujutsu Kaisen</x:v>
      </x:c>
      <x:c r="L79" s="17" t="str">
        <x:v>c040</x:v>
      </x:c>
    </x:row>
    <x:row r="80" ht="42" customHeight="1">
      <x:c r="A80" s="21" t="n">
        <x:v>6</x:v>
      </x:c>
      <x:c r="B80" s="14" t="str">
        <x:v>UFO</x:v>
      </x:c>
      <x:c r="C80" s="23" t="str">
        <x:f>D80&amp;"/"&amp;E80</x:f>
        <x:v>3/3</x:v>
      </x:c>
      <x:c r="D80" s="21" t="n">
        <x:v>3</x:v>
      </x:c>
      <x:c r="E80" s="21" t="n">
        <x:v>3</x:v>
      </x:c>
      <x:c r="F80" s="23" t="str">
        <x:v>Rare</x:v>
      </x:c>
      <x:c r="G80" s="23" t="str">
        <x:v>Tech</x:v>
      </x:c>
      <x:c r="H80" s="23" t="str">
        <x:v>Neutral</x:v>
      </x:c>
      <x:c r="I80" s="13" t="str">
        <x:v>Divine Shield</x:v>
      </x:c>
      <x:c r="J80" s="13" t="str">
        <x:v>-</x:v>
      </x:c>
      <x:c r="K80" s="13" t="str">
        <x:v>Basic</x:v>
      </x:c>
      <x:c r="L80" s="12" t="str">
        <x:v>c092</x:v>
      </x:c>
    </x:row>
    <x:row r="81" ht="44" customHeight="1">
      <x:c r="A81" s="22" t="n">
        <x:v>5</x:v>
      </x:c>
      <x:c r="B81" s="19" t="str">
        <x:v>Big Mom</x:v>
      </x:c>
      <x:c r="C81" s="24" t="str">
        <x:f>D81&amp;"/"&amp;E81</x:f>
        <x:v>3/5</x:v>
      </x:c>
      <x:c r="D81" s="22" t="n">
        <x:v>3</x:v>
      </x:c>
      <x:c r="E81" s="22" t="n">
        <x:v>5</x:v>
      </x:c>
      <x:c r="F81" s="24" t="str">
        <x:v>Epic</x:v>
      </x:c>
      <x:c r="G81" s="24" t="str">
        <x:v>Magic</x:v>
      </x:c>
      <x:c r="H81" s="24" t="str">
        <x:v>Evil</x:v>
      </x:c>
      <x:c r="I81" s="18" t="str">
        <x:v>Battlecry: Destroy a friendly minion. Gain its ATK and HP, in addition to your own</x:v>
      </x:c>
      <x:c r="J81" s="18" t="str">
        <x:v>Greed</x:v>
      </x:c>
      <x:c r="K81" s="18" t="str">
        <x:v>One Piece</x:v>
      </x:c>
      <x:c r="L81" s="17" t="str">
        <x:v>c098</x:v>
      </x:c>
    </x:row>
    <x:row r="82" ht="44" customHeight="1">
      <x:c r="A82" s="21" t="n">
        <x:v>5</x:v>
      </x:c>
      <x:c r="B82" s="14" t="str">
        <x:v>Buddha</x:v>
      </x:c>
      <x:c r="C82" s="23" t="str">
        <x:f>D82&amp;"/"&amp;E82</x:f>
        <x:v>3/4</x:v>
      </x:c>
      <x:c r="D82" s="21" t="n">
        <x:v>3</x:v>
      </x:c>
      <x:c r="E82" s="21" t="n">
        <x:v>4</x:v>
      </x:c>
      <x:c r="F82" s="23" t="str">
        <x:v>Legendary</x:v>
      </x:c>
      <x:c r="G82" s="23" t="str">
        <x:v>Magic</x:v>
      </x:c>
      <x:c r="H82" s="23" t="str">
        <x:v>Good</x:v>
      </x:c>
      <x:c r="I82" s="13" t="str">
        <x:v>Battlecry: All minions become Good type. Clear Chained, Frozen, Silenced and Marked from every minion on the board</x:v>
      </x:c>
      <x:c r="J82" s="13" t="str">
        <x:v>Peace.</x:v>
      </x:c>
      <x:c r="K82" s="13" t="str">
        <x:v>Record of Ragnarok</x:v>
      </x:c>
      <x:c r="L82" s="12" t="str">
        <x:v>c038</x:v>
      </x:c>
    </x:row>
    <x:row r="83" ht="42" customHeight="1">
      <x:c r="A83" s="22" t="n">
        <x:v>5</x:v>
      </x:c>
      <x:c r="B83" s="19" t="str">
        <x:v>Darth Vader</x:v>
      </x:c>
      <x:c r="C83" s="24" t="str">
        <x:f>D83&amp;"/"&amp;E83</x:f>
        <x:v>3/2</x:v>
      </x:c>
      <x:c r="D83" s="22" t="n">
        <x:v>3</x:v>
      </x:c>
      <x:c r="E83" s="22" t="n">
        <x:v>2</x:v>
      </x:c>
      <x:c r="F83" s="24" t="str">
        <x:v>Epic</x:v>
      </x:c>
      <x:c r="G83" s="24" t="str">
        <x:v>Magic</x:v>
      </x:c>
      <x:c r="H83" s="24" t="str">
        <x:v>Evil</x:v>
      </x:c>
      <x:c r="I83" s="18" t="str">
        <x:v>Battlecry: Choose an enemy minion. Set its ATK to 1 and Chain it</x:v>
      </x:c>
      <x:c r="J83" s="18" t="str">
        <x:v>Reborn.</x:v>
      </x:c>
      <x:c r="K83" s="18" t="str">
        <x:v>Star Wars</x:v>
      </x:c>
      <x:c r="L83" s="17" t="str">
        <x:v>c029</x:v>
      </x:c>
    </x:row>
    <x:row r="84" ht="42" customHeight="1">
      <x:c r="A84" s="21" t="n">
        <x:v>5</x:v>
      </x:c>
      <x:c r="B84" s="14" t="str">
        <x:v>Deep Sea King</x:v>
      </x:c>
      <x:c r="C84" s="23" t="str">
        <x:f>D84&amp;"/"&amp;E84</x:f>
        <x:v>4/4</x:v>
      </x:c>
      <x:c r="D84" s="21" t="n">
        <x:v>4</x:v>
      </x:c>
      <x:c r="E84" s="21" t="n">
        <x:v>4</x:v>
      </x:c>
      <x:c r="F84" s="23" t="str">
        <x:v>Rare</x:v>
      </x:c>
      <x:c r="G84" s="23" t="str">
        <x:v>Nature</x:v>
      </x:c>
      <x:c r="H84" s="23" t="str">
        <x:v>Evil</x:v>
      </x:c>
      <x:c r="I84" s="13" t="str">
        <x:v>Passive: Costs 3 less while any minion is Frozen or Chained</x:v>
      </x:c>
      <x:c r="J84" s="13" t="str">
        <x:v>This is why you stay out of the ocean.</x:v>
      </x:c>
      <x:c r="K84" s="13" t="str">
        <x:v>OPM</x:v>
      </x:c>
      <x:c r="L84" s="12" t="str">
        <x:v>c039</x:v>
      </x:c>
    </x:row>
    <x:row r="85" ht="42" customHeight="1">
      <x:c r="A85" s="22" t="n">
        <x:v>5</x:v>
      </x:c>
      <x:c r="B85" s="19" t="str">
        <x:v>Dio Brando</x:v>
      </x:c>
      <x:c r="C85" s="24" t="str">
        <x:f>D85&amp;"/"&amp;E85</x:f>
        <x:v>3/2</x:v>
      </x:c>
      <x:c r="D85" s="22" t="n">
        <x:v>3</x:v>
      </x:c>
      <x:c r="E85" s="22" t="n">
        <x:v>2</x:v>
      </x:c>
      <x:c r="F85" s="24" t="str">
        <x:v>Legendary</x:v>
      </x:c>
      <x:c r="G85" s="24" t="str">
        <x:v>Magic</x:v>
      </x:c>
      <x:c r="H85" s="24" t="str">
        <x:v>Evil</x:v>
      </x:c>
      <x:c r="I85" s="18" t="str">
        <x:v>Battlecry: Freeze all enemy minions</x:v>
      </x:c>
      <x:c r="J85" s="18" t="str">
        <x:v>THE WORLD</x:v>
      </x:c>
      <x:c r="K85" s="18" t="str">
        <x:v>JoJo</x:v>
      </x:c>
      <x:c r="L85" s="17" t="str">
        <x:v>c096</x:v>
      </x:c>
    </x:row>
    <x:row r="86" ht="42" customHeight="1">
      <x:c r="A86" s="21" t="n">
        <x:v>5</x:v>
      </x:c>
      <x:c r="B86" s="14" t="str">
        <x:v>Dragon</x:v>
      </x:c>
      <x:c r="C86" s="23" t="str">
        <x:f>D86&amp;"/"&amp;E86</x:f>
        <x:v>3/5</x:v>
      </x:c>
      <x:c r="D86" s="21" t="n">
        <x:v>3</x:v>
      </x:c>
      <x:c r="E86" s="21" t="n">
        <x:v>5</x:v>
      </x:c>
      <x:c r="F86" s="23" t="str">
        <x:v>Rare</x:v>
      </x:c>
      <x:c r="G86" s="23" t="str">
        <x:v>Nature</x:v>
      </x:c>
      <x:c r="H86" s="23" t="str">
        <x:v>Neutral</x:v>
      </x:c>
      <x:c r="I86" s="13" t="str">
        <x:v>Taunt</x:v>
      </x:c>
      <x:c r="J86" s="13" t="str">
        <x:v>ROAR</x:v>
      </x:c>
      <x:c r="K86" s="13" t="str">
        <x:v>Myth</x:v>
      </x:c>
      <x:c r="L86" s="12" t="str">
        <x:v>c102</x:v>
      </x:c>
    </x:row>
    <x:row r="87" ht="44" customHeight="1">
      <x:c r="A87" s="22" t="n">
        <x:v>5</x:v>
      </x:c>
      <x:c r="B87" s="19" t="str">
        <x:v>Dumbledore</x:v>
      </x:c>
      <x:c r="C87" s="24" t="str">
        <x:f>D87&amp;"/"&amp;E87</x:f>
        <x:v>2/4</x:v>
      </x:c>
      <x:c r="D87" s="22" t="n">
        <x:v>2</x:v>
      </x:c>
      <x:c r="E87" s="22" t="n">
        <x:v>4</x:v>
      </x:c>
      <x:c r="F87" s="24" t="str">
        <x:v>Rare</x:v>
      </x:c>
      <x:c r="G87" s="24" t="str">
        <x:v>Magic</x:v>
      </x:c>
      <x:c r="H87" s="24" t="str">
        <x:v>Good</x:v>
      </x:c>
      <x:c r="I87" s="18" t="str">
        <x:v>Passive: Friendly minions cannot be Silenced, Frozen, or Chained. Undo any such curses</x:v>
      </x:c>
      <x:c r="J87" s="18" t="str">
        <x:v>He always asks calmly.</x:v>
      </x:c>
      <x:c r="K87" s="18" t="str">
        <x:v>Harry Potter</x:v>
      </x:c>
      <x:c r="L87" s="17" t="str">
        <x:v>c030</x:v>
      </x:c>
    </x:row>
    <x:row r="88" ht="42" customHeight="1">
      <x:c r="A88" s="21" t="n">
        <x:v>5</x:v>
      </x:c>
      <x:c r="B88" s="14" t="str">
        <x:v>Eye of Sauron</x:v>
      </x:c>
      <x:c r="C88" s="23" t="str">
        <x:f>D88&amp;"/"&amp;E88</x:f>
        <x:v>1/5</x:v>
      </x:c>
      <x:c r="D88" s="21" t="n">
        <x:v>1</x:v>
      </x:c>
      <x:c r="E88" s="21" t="n">
        <x:v>5</x:v>
      </x:c>
      <x:c r="F88" s="23" t="str">
        <x:v>Legendary</x:v>
      </x:c>
      <x:c r="G88" s="23" t="str">
        <x:v>Magic</x:v>
      </x:c>
      <x:c r="H88" s="23" t="str">
        <x:v>Evil</x:v>
      </x:c>
      <x:c r="I88" s="13" t="str">
        <x:v>Passive: Enemy cards cost 1 more</x:v>
      </x:c>
      <x:c r="J88" s="13" t="str">
        <x:v>Try and hide.</x:v>
      </x:c>
      <x:c r="K88" s="13" t="str">
        <x:v>Lord of the Rings</x:v>
      </x:c>
      <x:c r="L88" s="12" t="str">
        <x:v>c037</x:v>
      </x:c>
    </x:row>
    <x:row r="89" ht="42" customHeight="1">
      <x:c r="A89" s="22" t="n">
        <x:v>5</x:v>
      </x:c>
      <x:c r="B89" s="19" t="str">
        <x:v>Fire Lord Ozai</x:v>
      </x:c>
      <x:c r="C89" s="24" t="str">
        <x:f>D89&amp;"/"&amp;E89</x:f>
        <x:v>3/3</x:v>
      </x:c>
      <x:c r="D89" s="22" t="n">
        <x:v>3</x:v>
      </x:c>
      <x:c r="E89" s="22" t="n">
        <x:v>3</x:v>
      </x:c>
      <x:c r="F89" s="24" t="str">
        <x:v>Epic</x:v>
      </x:c>
      <x:c r="G89" s="24" t="str">
        <x:v>Magic</x:v>
      </x:c>
      <x:c r="H89" s="24" t="str">
        <x:v>Evil</x:v>
      </x:c>
      <x:c r="I89" s="18" t="str">
        <x:v>Battlecry: Deal 2 damage to all other minions</x:v>
      </x:c>
      <x:c r="J89" s="18" t="str">
        <x:v>Entitlement</x:v>
      </x:c>
      <x:c r="K89" s="18" t="str">
        <x:v>Avatar</x:v>
      </x:c>
      <x:c r="L89" s="17" t="str">
        <x:v>c099</x:v>
      </x:c>
    </x:row>
    <x:row r="90" ht="42" customHeight="1">
      <x:c r="A90" s="21" t="n">
        <x:v>5</x:v>
      </x:c>
      <x:c r="B90" s="14" t="str">
        <x:v>Fort</x:v>
      </x:c>
      <x:c r="C90" s="23" t="str">
        <x:f>D90&amp;"/"&amp;E90</x:f>
        <x:v>4/5</x:v>
      </x:c>
      <x:c r="D90" s="21" t="n">
        <x:v>4</x:v>
      </x:c>
      <x:c r="E90" s="21" t="n">
        <x:v>5</x:v>
      </x:c>
      <x:c r="F90" s="23" t="str">
        <x:v>Rare</x:v>
      </x:c>
      <x:c r="G90" s="23" t="str">
        <x:v>Tech</x:v>
      </x:c>
      <x:c r="H90" s="23" t="str">
        <x:v>Neutral</x:v>
      </x:c>
      <x:c r="I90" s="13" t="str">
        <x:v>Taunt. Cannot attack</x:v>
      </x:c>
      <x:c r="J90" s="13" t="str">
        <x:v>-</x:v>
      </x:c>
      <x:c r="K90" s="13" t="str">
        <x:v>Basic</x:v>
      </x:c>
      <x:c r="L90" s="12" t="str">
        <x:v>c103</x:v>
      </x:c>
    </x:row>
    <x:row r="91" ht="44" customHeight="1">
      <x:c r="A91" s="22" t="n">
        <x:v>5</x:v>
      </x:c>
      <x:c r="B91" s="19" t="str">
        <x:v>GLaDOS</x:v>
      </x:c>
      <x:c r="C91" s="24" t="str">
        <x:f>D91&amp;"/"&amp;E91</x:f>
        <x:v>2/3</x:v>
      </x:c>
      <x:c r="D91" s="22" t="n">
        <x:v>2</x:v>
      </x:c>
      <x:c r="E91" s="22" t="n">
        <x:v>3</x:v>
      </x:c>
      <x:c r="F91" s="24" t="str">
        <x:v>Legendary</x:v>
      </x:c>
      <x:c r="G91" s="24" t="str">
        <x:v>Tech</x:v>
      </x:c>
      <x:c r="H91" s="24" t="str">
        <x:v>Evil</x:v>
      </x:c>
      <x:c r="I91" s="18" t="str">
        <x:v>Cannot attack. Passive: Adjacent friendly Tech minions have Taunt and +2/+2</x:v>
      </x:c>
      <x:c r="J91" s="18" t="str">
        <x:v>The test continues</x:v>
      </x:c>
      <x:c r="K91" s="18" t="str">
        <x:v>Portal</x:v>
      </x:c>
      <x:c r="L91" s="17" t="str">
        <x:v>c104</x:v>
      </x:c>
    </x:row>
    <x:row r="92" ht="44" customHeight="1">
      <x:c r="A92" s="21" t="n">
        <x:v>5</x:v>
      </x:c>
      <x:c r="B92" s="14" t="str">
        <x:v>Grand Master Oogway</x:v>
      </x:c>
      <x:c r="C92" s="23" t="str">
        <x:f>D92&amp;"/"&amp;E92</x:f>
        <x:v>2/2</x:v>
      </x:c>
      <x:c r="D92" s="21" t="n">
        <x:v>2</x:v>
      </x:c>
      <x:c r="E92" s="21" t="n">
        <x:v>2</x:v>
      </x:c>
      <x:c r="F92" s="23" t="str">
        <x:v>Mythic</x:v>
      </x:c>
      <x:c r="G92" s="23" t="str">
        <x:v>Magic</x:v>
      </x:c>
      <x:c r="H92" s="23" t="str">
        <x:v>Good</x:v>
      </x:c>
      <x:c r="I92" s="13" t="str">
        <x:v>Divine Shield. Passive: Once per turn, when another friendly minion would die, return it to your hand instead and Chain Oogway</x:v>
      </x:c>
      <x:c r="J92" s="13" t="str">
        <x:v>Patience</x:v>
      </x:c>
      <x:c r="K92" s="13" t="str">
        <x:v>Kung-Fu Panda</x:v>
      </x:c>
      <x:c r="L92" s="12" t="str">
        <x:v>c094</x:v>
      </x:c>
    </x:row>
    <x:row r="93" ht="44" customHeight="1">
      <x:c r="A93" s="22" t="n">
        <x:v>5</x:v>
      </x:c>
      <x:c r="B93" s="19" t="str">
        <x:v>Kojiro Sasaki</x:v>
      </x:c>
      <x:c r="C93" s="24" t="str">
        <x:f>D93&amp;"/"&amp;E93</x:f>
        <x:v>2/2</x:v>
      </x:c>
      <x:c r="D93" s="22" t="n">
        <x:v>2</x:v>
      </x:c>
      <x:c r="E93" s="22" t="n">
        <x:v>2</x:v>
      </x:c>
      <x:c r="F93" s="24" t="str">
        <x:v>Mythic</x:v>
      </x:c>
      <x:c r="G93" s="24" t="str">
        <x:v>Nature</x:v>
      </x:c>
      <x:c r="H93" s="24" t="str">
        <x:v>Good</x:v>
      </x:c>
      <x:c r="I93" s="18" t="str">
        <x:v>Passive: All friendly minions have +33% chance to evade an attack</x:v>
      </x:c>
      <x:c r="J93" s="18" t="str">
        <x:v>Spending infinity in the Astral made him on par with the Gods</x:v>
      </x:c>
      <x:c r="K93" s="18" t="str">
        <x:v>RoR</x:v>
      </x:c>
      <x:c r="L93" s="17" t="str">
        <x:v>c095</x:v>
      </x:c>
    </x:row>
    <x:row r="94" ht="44" customHeight="1">
      <x:c r="A94" s="21" t="n">
        <x:v>5</x:v>
      </x:c>
      <x:c r="B94" s="14" t="str">
        <x:v>One-Eyed Owl</x:v>
      </x:c>
      <x:c r="C94" s="23" t="str">
        <x:f>D94&amp;"/"&amp;E94</x:f>
        <x:v>4/4</x:v>
      </x:c>
      <x:c r="D94" s="21" t="n">
        <x:v>4</x:v>
      </x:c>
      <x:c r="E94" s="21" t="n">
        <x:v>4</x:v>
      </x:c>
      <x:c r="F94" s="23" t="str">
        <x:v>Epic</x:v>
      </x:c>
      <x:c r="G94" s="23" t="str">
        <x:v>Nature</x:v>
      </x:c>
      <x:c r="H94" s="23" t="str">
        <x:v>Evil</x:v>
      </x:c>
      <x:c r="I94" s="13" t="str">
        <x:v>Passive: Whenever a minion becomes Chained, Frozen or Silenced, gain +1/+1</x:v>
      </x:c>
      <x:c r="J94" s="13" t="str">
        <x:v>All seeing eye</x:v>
      </x:c>
      <x:c r="K94" s="13" t="str">
        <x:v>Tokyo Ghoul</x:v>
      </x:c>
      <x:c r="L94" s="12" t="str">
        <x:v>c115</x:v>
      </x:c>
    </x:row>
    <x:row r="95" ht="42" customHeight="1">
      <x:c r="A95" s="22" t="n">
        <x:v>5</x:v>
      </x:c>
      <x:c r="B95" s="19" t="str">
        <x:v>Rennala Queen of the Full Moon</x:v>
      </x:c>
      <x:c r="C95" s="24" t="str">
        <x:f>D95&amp;"/"&amp;E95</x:f>
        <x:v>2/3</x:v>
      </x:c>
      <x:c r="D95" s="22" t="n">
        <x:v>2</x:v>
      </x:c>
      <x:c r="E95" s="22" t="n">
        <x:v>3</x:v>
      </x:c>
      <x:c r="F95" s="24" t="str">
        <x:v>Epic</x:v>
      </x:c>
      <x:c r="G95" s="24" t="str">
        <x:v>Magic</x:v>
      </x:c>
      <x:c r="H95" s="24" t="str">
        <x:v>Neutral</x:v>
      </x:c>
      <x:c r="I95" s="18" t="str">
        <x:v>Battlecry: Rebirth a random friendly minion that died this game</x:v>
      </x:c>
      <x:c r="J95" s="18" t="str">
        <x:v>The Moon</x:v>
      </x:c>
      <x:c r="K95" s="18" t="str">
        <x:v>Elden Ring</x:v>
      </x:c>
      <x:c r="L95" s="17" t="str">
        <x:v>c100</x:v>
      </x:c>
    </x:row>
    <x:row r="96" ht="42" customHeight="1">
      <x:c r="A96" s="21" t="n">
        <x:v>5</x:v>
      </x:c>
      <x:c r="B96" s="14" t="str">
        <x:v>T-1000</x:v>
      </x:c>
      <x:c r="C96" s="23" t="str">
        <x:f>D96&amp;"/"&amp;E96</x:f>
        <x:v>3/5</x:v>
      </x:c>
      <x:c r="D96" s="21" t="n">
        <x:v>3</x:v>
      </x:c>
      <x:c r="E96" s="21" t="n">
        <x:v>5</x:v>
      </x:c>
      <x:c r="F96" s="23" t="str">
        <x:v>Epic</x:v>
      </x:c>
      <x:c r="G96" s="23" t="str">
        <x:v>Tech</x:v>
      </x:c>
      <x:c r="H96" s="23" t="str">
        <x:v>Neutral</x:v>
      </x:c>
      <x:c r="I96" s="13" t="str">
        <x:v>Ongoing: Fully heal yourself</x:v>
      </x:c>
      <x:c r="J96" s="13" t="str">
        <x:v>It remembers its shape.</x:v>
      </x:c>
      <x:c r="K96" s="13" t="str">
        <x:v>Terminator</x:v>
      </x:c>
      <x:c r="L96" s="12" t="str">
        <x:v>c008</x:v>
      </x:c>
    </x:row>
    <x:row r="97" ht="42" customHeight="1">
      <x:c r="A97" s="22" t="n">
        <x:v>5</x:v>
      </x:c>
      <x:c r="B97" s="19" t="str">
        <x:v>The Driller</x:v>
      </x:c>
      <x:c r="C97" s="24" t="str">
        <x:f>D97&amp;"/"&amp;E97</x:f>
        <x:v>1/1</x:v>
      </x:c>
      <x:c r="D97" s="22" t="n">
        <x:v>1</x:v>
      </x:c>
      <x:c r="E97" s="22" t="n">
        <x:v>1</x:v>
      </x:c>
      <x:c r="F97" s="24" t="str">
        <x:v>Rare</x:v>
      </x:c>
      <x:c r="G97" s="24" t="str">
        <x:v>Tech</x:v>
      </x:c>
      <x:c r="H97" s="24" t="str">
        <x:v>Evil</x:v>
      </x:c>
      <x:c r="I97" s="18" t="str">
        <x:v>Battlecry: Consume an enemy Tech minion with 4 HP or lower</x:v>
      </x:c>
      <x:c r="J97" s="18" t="str">
        <x:v>Latest design</x:v>
      </x:c>
      <x:c r="K97" s="18" t="str">
        <x:v>MCU</x:v>
      </x:c>
      <x:c r="L97" s="17" t="str">
        <x:v>c105</x:v>
      </x:c>
    </x:row>
    <x:row r="98" ht="44" customHeight="1">
      <x:c r="A98" s="21" t="n">
        <x:v>5</x:v>
      </x:c>
      <x:c r="B98" s="14" t="str">
        <x:v>Transformers</x:v>
      </x:c>
      <x:c r="C98" s="23" t="str">
        <x:f>D98&amp;"/"&amp;E98</x:f>
        <x:v>2/5</x:v>
      </x:c>
      <x:c r="D98" s="21" t="n">
        <x:v>2</x:v>
      </x:c>
      <x:c r="E98" s="21" t="n">
        <x:v>5</x:v>
      </x:c>
      <x:c r="F98" s="23" t="str">
        <x:v>Rare</x:v>
      </x:c>
      <x:c r="G98" s="23" t="str">
        <x:v>Tech</x:v>
      </x:c>
      <x:c r="H98" s="23" t="str">
        <x:v>Neutral</x:v>
      </x:c>
      <x:c r="I98" s="13" t="str">
        <x:v>Battlecry: Consume all friendly Tech minions and gain their stats and effects</x:v>
      </x:c>
      <x:c r="J98" s="13" t="str">
        <x:v>Cybertronian</x:v>
      </x:c>
      <x:c r="K98" s="13" t="str">
        <x:v>Transformers</x:v>
      </x:c>
      <x:c r="L98" s="12" t="str">
        <x:v>c106</x:v>
      </x:c>
    </x:row>
    <x:row r="99" ht="42" customHeight="1">
      <x:c r="A99" s="22" t="n">
        <x:v>5</x:v>
      </x:c>
      <x:c r="B99" s="19" t="str">
        <x:v>Zoro</x:v>
      </x:c>
      <x:c r="C99" s="24" t="str">
        <x:f>D99&amp;"/"&amp;E99</x:f>
        <x:v>4/4</x:v>
      </x:c>
      <x:c r="D99" s="22" t="n">
        <x:v>4</x:v>
      </x:c>
      <x:c r="E99" s="22" t="n">
        <x:v>4</x:v>
      </x:c>
      <x:c r="F99" s="24" t="str">
        <x:v>Rare</x:v>
      </x:c>
      <x:c r="G99" s="24" t="str">
        <x:v>Nature</x:v>
      </x:c>
      <x:c r="H99" s="24" t="str">
        <x:v>Good</x:v>
      </x:c>
      <x:c r="I99" s="18" t="str">
        <x:v>Passive: Gain +1/+1 after killing a minion</x:v>
      </x:c>
      <x:c r="J99" s="18" t="str">
        <x:v>Lost again. Still won.</x:v>
      </x:c>
      <x:c r="K99" s="18" t="str">
        <x:v>One Piece</x:v>
      </x:c>
      <x:c r="L99" s="17" t="str">
        <x:v>c142</x:v>
      </x:c>
    </x:row>
    <x:row r="100" ht="42" customHeight="1">
      <x:c r="A100" s="21" t="n">
        <x:v>4</x:v>
      </x:c>
      <x:c r="B100" s="14" t="str">
        <x:v>Albion</x:v>
      </x:c>
      <x:c r="C100" s="23" t="str">
        <x:f>D100&amp;"/"&amp;E100</x:f>
        <x:v>6/5</x:v>
      </x:c>
      <x:c r="D100" s="21" t="n">
        <x:v>6</x:v>
      </x:c>
      <x:c r="E100" s="21" t="n">
        <x:v>5</x:v>
      </x:c>
      <x:c r="F100" s="23" t="str">
        <x:v>Rare</x:v>
      </x:c>
      <x:c r="G100" s="23" t="str">
        <x:v>Magic</x:v>
      </x:c>
      <x:c r="H100" s="23" t="str">
        <x:v>Evil</x:v>
      </x:c>
      <x:c r="I100" s="13" t="str">
        <x:v>Chained</x:v>
      </x:c>
      <x:c r="J100" s="13" t="str">
        <x:v>Mountain-tall</x:v>
      </x:c>
      <x:c r="K100" s="13" t="str">
        <x:v>Seven Deadly Sins</x:v>
      </x:c>
      <x:c r="L100" s="12" t="str">
        <x:v>c117</x:v>
      </x:c>
    </x:row>
    <x:row r="101" ht="42" customHeight="1">
      <x:c r="A101" s="22" t="n">
        <x:v>4</x:v>
      </x:c>
      <x:c r="B101" s="19" t="str">
        <x:v>Battleship</x:v>
      </x:c>
      <x:c r="C101" s="24" t="str">
        <x:f>D101&amp;"/"&amp;E101</x:f>
        <x:v>2/3</x:v>
      </x:c>
      <x:c r="D101" s="22" t="n">
        <x:v>2</x:v>
      </x:c>
      <x:c r="E101" s="22" t="n">
        <x:v>3</x:v>
      </x:c>
      <x:c r="F101" s="24" t="str">
        <x:v>Rare</x:v>
      </x:c>
      <x:c r="G101" s="24" t="str">
        <x:v>Tech</x:v>
      </x:c>
      <x:c r="H101" s="24" t="str">
        <x:v>Neutral</x:v>
      </x:c>
      <x:c r="I101" s="18" t="str">
        <x:v>Passive: All friendly Tech minions have +2/+1</x:v>
      </x:c>
      <x:c r="J101" s="18" t="str">
        <x:v>-</x:v>
      </x:c>
      <x:c r="K101" s="18" t="str">
        <x:v>Basic</x:v>
      </x:c>
      <x:c r="L101" s="17" t="str">
        <x:v>c118</x:v>
      </x:c>
    </x:row>
    <x:row r="102" ht="42" customHeight="1">
      <x:c r="A102" s="21" t="n">
        <x:v>4</x:v>
      </x:c>
      <x:c r="B102" s="14" t="str">
        <x:v>Carnage Kabuto</x:v>
      </x:c>
      <x:c r="C102" s="23" t="str">
        <x:f>D102&amp;"/"&amp;E102</x:f>
        <x:v>3/2</x:v>
      </x:c>
      <x:c r="D102" s="21" t="n">
        <x:v>3</x:v>
      </x:c>
      <x:c r="E102" s="21" t="n">
        <x:v>2</x:v>
      </x:c>
      <x:c r="F102" s="23" t="str">
        <x:v>Rare</x:v>
      </x:c>
      <x:c r="G102" s="23" t="str">
        <x:v>Nature</x:v>
      </x:c>
      <x:c r="H102" s="23" t="str">
        <x:v>Evil</x:v>
      </x:c>
      <x:c r="I102" s="13" t="str">
        <x:v>Ongoing: Gain +3 ATK</x:v>
      </x:c>
      <x:c r="J102" s="13" t="str">
        <x:v>Maximum evolution</x:v>
      </x:c>
      <x:c r="K102" s="13" t="str">
        <x:v>OPM</x:v>
      </x:c>
      <x:c r="L102" s="12" t="str">
        <x:v>c119</x:v>
      </x:c>
    </x:row>
    <x:row r="103" ht="44" customHeight="1">
      <x:c r="A103" s="22" t="n">
        <x:v>4</x:v>
      </x:c>
      <x:c r="B103" s="19" t="str">
        <x:v>Chrollo</x:v>
      </x:c>
      <x:c r="C103" s="24" t="str">
        <x:f>D103&amp;"/"&amp;E103</x:f>
        <x:v>3/5</x:v>
      </x:c>
      <x:c r="D103" s="22" t="n">
        <x:v>3</x:v>
      </x:c>
      <x:c r="E103" s="22" t="n">
        <x:v>5</x:v>
      </x:c>
      <x:c r="F103" s="24" t="str">
        <x:v>Legendary</x:v>
      </x:c>
      <x:c r="G103" s="24" t="str">
        <x:v>Magic</x:v>
      </x:c>
      <x:c r="H103" s="24" t="str">
        <x:v>Evil</x:v>
      </x:c>
      <x:c r="I103" s="18" t="str">
        <x:v>Battlecry: Copy a passive from a minion. That minion loses the passive as long as Chrollo is alive</x:v>
      </x:c>
      <x:c r="J103" s="18" t="str">
        <x:v>A poisonous spider</x:v>
      </x:c>
      <x:c r="K103" s="18" t="str">
        <x:v>HxH</x:v>
      </x:c>
      <x:c r="L103" s="17" t="str">
        <x:v>c107</x:v>
      </x:c>
    </x:row>
    <x:row r="104" ht="44" customHeight="1">
      <x:c r="A104" s="21" t="n">
        <x:v>4</x:v>
      </x:c>
      <x:c r="B104" s="14" t="str">
        <x:v>Doctor Octopus</x:v>
      </x:c>
      <x:c r="C104" s="23" t="str">
        <x:f>D104&amp;"/"&amp;E104</x:f>
        <x:v>3/3</x:v>
      </x:c>
      <x:c r="D104" s="21" t="n">
        <x:v>3</x:v>
      </x:c>
      <x:c r="E104" s="21" t="n">
        <x:v>3</x:v>
      </x:c>
      <x:c r="F104" s="23" t="str">
        <x:v>Epic</x:v>
      </x:c>
      <x:c r="G104" s="23" t="str">
        <x:v>Tech</x:v>
      </x:c>
      <x:c r="H104" s="23" t="str">
        <x:v>Evil</x:v>
      </x:c>
      <x:c r="I104" s="13" t="str">
        <x:v>Battlecry: Destroy an enemy Ascension Relic (equipped by an enemy minion) of your choice</x:v>
      </x:c>
      <x:c r="J104" s="13" t="str">
        <x:v>The power of the Sun, in the palm of my hands</x:v>
      </x:c>
      <x:c r="K104" s="13" t="str">
        <x:v>MCU</x:v>
      </x:c>
      <x:c r="L104" s="12" t="str">
        <x:v>c111</x:v>
      </x:c>
    </x:row>
    <x:row r="105" ht="42" customHeight="1">
      <x:c r="A105" s="22" t="n">
        <x:v>4</x:v>
      </x:c>
      <x:c r="B105" s="19" t="str">
        <x:v>Fantastic Four</x:v>
      </x:c>
      <x:c r="C105" s="24" t="str">
        <x:f>D105&amp;"/"&amp;E105</x:f>
        <x:v>2/2</x:v>
      </x:c>
      <x:c r="D105" s="22" t="n">
        <x:v>2</x:v>
      </x:c>
      <x:c r="E105" s="22" t="n">
        <x:v>2</x:v>
      </x:c>
      <x:c r="F105" s="24" t="str">
        <x:v>Rare</x:v>
      </x:c>
      <x:c r="G105" s="24" t="str">
        <x:v>Nature</x:v>
      </x:c>
      <x:c r="H105" s="24" t="str">
        <x:v>Good</x:v>
      </x:c>
      <x:c r="I105" s="18" t="str">
        <x:v>Passive: Your first 4 board slots each give +1/+1</x:v>
      </x:c>
      <x:c r="J105" s="18" t="str">
        <x:v>4</x:v>
      </x:c>
      <x:c r="K105" s="18" t="str">
        <x:v>MCU</x:v>
      </x:c>
      <x:c r="L105" s="17" t="str">
        <x:v>c120</x:v>
      </x:c>
    </x:row>
    <x:row r="106" ht="44" customHeight="1">
      <x:c r="A106" s="21" t="n">
        <x:v>4</x:v>
      </x:c>
      <x:c r="B106" s="14" t="str">
        <x:v>Furious Five</x:v>
      </x:c>
      <x:c r="C106" s="23" t="str">
        <x:f>D106&amp;"/"&amp;E106</x:f>
        <x:v>3/3</x:v>
      </x:c>
      <x:c r="D106" s="21" t="n">
        <x:v>3</x:v>
      </x:c>
      <x:c r="E106" s="21" t="n">
        <x:v>3</x:v>
      </x:c>
      <x:c r="F106" s="23" t="str">
        <x:v>Rare</x:v>
      </x:c>
      <x:c r="G106" s="23" t="str">
        <x:v>Nature</x:v>
      </x:c>
      <x:c r="H106" s="23" t="str">
        <x:v>Good</x:v>
      </x:c>
      <x:c r="I106" s="13" t="str">
        <x:v>Passive: Whenever you play a Good friendly minion, it gains Divine Shield</x:v>
      </x:c>
      <x:c r="J106" s="13" t="str">
        <x:v>Resilience</x:v>
      </x:c>
      <x:c r="K106" s="13" t="str">
        <x:v>Kung-Fu Panda</x:v>
      </x:c>
      <x:c r="L106" s="12" t="str">
        <x:v>c121</x:v>
      </x:c>
    </x:row>
    <x:row r="107" ht="44" customHeight="1">
      <x:c r="A107" s="22" t="n">
        <x:v>4</x:v>
      </x:c>
      <x:c r="B107" s="19" t="str">
        <x:v>General Grievous</x:v>
      </x:c>
      <x:c r="C107" s="24" t="str">
        <x:f>D107&amp;"/"&amp;E107</x:f>
        <x:v>3/3</x:v>
      </x:c>
      <x:c r="D107" s="22" t="n">
        <x:v>3</x:v>
      </x:c>
      <x:c r="E107" s="22" t="n">
        <x:v>3</x:v>
      </x:c>
      <x:c r="F107" s="24" t="str">
        <x:v>Rare</x:v>
      </x:c>
      <x:c r="G107" s="24" t="str">
        <x:v>Tech</x:v>
      </x:c>
      <x:c r="H107" s="24" t="str">
        <x:v>Evil</x:v>
      </x:c>
      <x:c r="I107" s="18" t="str">
        <x:v>Passive: Whenever Grievous kills a minion, he permanently gains that minion's ATK</x:v>
      </x:c>
      <x:c r="J107" s="18" t="str">
        <x:v>A fine addition.</x:v>
      </x:c>
      <x:c r="K107" s="18" t="str">
        <x:v>Star Wars</x:v>
      </x:c>
      <x:c r="L107" s="17" t="str">
        <x:v>c036</x:v>
      </x:c>
    </x:row>
    <x:row r="108" ht="42" customHeight="1">
      <x:c r="A108" s="21" t="n">
        <x:v>4</x:v>
      </x:c>
      <x:c r="B108" s="14" t="str">
        <x:v>Gordon Freeman</x:v>
      </x:c>
      <x:c r="C108" s="23" t="str">
        <x:f>D108&amp;"/"&amp;E108</x:f>
        <x:v>1/3</x:v>
      </x:c>
      <x:c r="D108" s="21" t="n">
        <x:v>1</x:v>
      </x:c>
      <x:c r="E108" s="21" t="n">
        <x:v>3</x:v>
      </x:c>
      <x:c r="F108" s="23" t="str">
        <x:v>Legendary</x:v>
      </x:c>
      <x:c r="G108" s="23" t="str">
        <x:v>Tech</x:v>
      </x:c>
      <x:c r="H108" s="23" t="str">
        <x:v>Neutral</x:v>
      </x:c>
      <x:c r="I108" s="13" t="str">
        <x:v>Passive: All friendly minions have Charge</x:v>
      </x:c>
      <x:c r="J108" s="13" t="str">
        <x:v>I̵n̷ ̵t̵h̵e̷ ̵f̴l̵e̷s̷h̴…</x:v>
      </x:c>
      <x:c r="K108" s="13" t="str">
        <x:v>Half-life</x:v>
      </x:c>
      <x:c r="L108" s="12" t="str">
        <x:v>c081</x:v>
      </x:c>
    </x:row>
    <x:row r="109" ht="42" customHeight="1">
      <x:c r="A109" s="22" t="n">
        <x:v>4</x:v>
      </x:c>
      <x:c r="B109" s="19" t="str">
        <x:v>Gravelord Nito</x:v>
      </x:c>
      <x:c r="C109" s="24" t="str">
        <x:f>D109&amp;"/"&amp;E109</x:f>
        <x:v>2/3</x:v>
      </x:c>
      <x:c r="D109" s="22" t="n">
        <x:v>2</x:v>
      </x:c>
      <x:c r="E109" s="22" t="n">
        <x:v>3</x:v>
      </x:c>
      <x:c r="F109" s="24" t="str">
        <x:v>Rare</x:v>
      </x:c>
      <x:c r="G109" s="24" t="str">
        <x:v>Magic</x:v>
      </x:c>
      <x:c r="H109" s="24" t="str">
        <x:v>Neutral</x:v>
      </x:c>
      <x:c r="I109" s="18" t="str">
        <x:v>Passive: Gain +1/+1 when a minion dies</x:v>
      </x:c>
      <x:c r="J109" s="18" t="str">
        <x:v>The first of the dead keeps the count.</x:v>
      </x:c>
      <x:c r="K109" s="18" t="str">
        <x:v>Dark Souls</x:v>
      </x:c>
      <x:c r="L109" s="17" t="str">
        <x:v>c154</x:v>
      </x:c>
    </x:row>
    <x:row r="110" ht="42" customHeight="1">
      <x:c r="A110" s="21" t="n">
        <x:v>4</x:v>
      </x:c>
      <x:c r="B110" s="14" t="str">
        <x:v>Gyoro Gyoro</x:v>
      </x:c>
      <x:c r="C110" s="23" t="str">
        <x:f>D110&amp;"/"&amp;E110</x:f>
        <x:v>1/4</x:v>
      </x:c>
      <x:c r="D110" s="21" t="n">
        <x:v>1</x:v>
      </x:c>
      <x:c r="E110" s="21" t="n">
        <x:v>4</x:v>
      </x:c>
      <x:c r="F110" s="23" t="str">
        <x:v>Epic</x:v>
      </x:c>
      <x:c r="G110" s="23" t="str">
        <x:v>Magic</x:v>
      </x:c>
      <x:c r="H110" s="23" t="str">
        <x:v>Evil</x:v>
      </x:c>
      <x:c r="I110" s="13" t="str">
        <x:v>Ongoing: Give +2/+2 to a friendly Evil minion of your choice</x:v>
      </x:c>
      <x:c r="J110" s="13" t="str">
        <x:v>Puppet's puppet-master</x:v>
      </x:c>
      <x:c r="K110" s="13" t="str">
        <x:v>OPM</x:v>
      </x:c>
      <x:c r="L110" s="12" t="str">
        <x:v>c112</x:v>
      </x:c>
    </x:row>
    <x:row r="111" ht="42" customHeight="1">
      <x:c r="A111" s="22" t="n">
        <x:v>4</x:v>
      </x:c>
      <x:c r="B111" s="19" t="str">
        <x:v>Hypnos</x:v>
      </x:c>
      <x:c r="C111" s="24" t="str">
        <x:f>D111&amp;"/"&amp;E111</x:f>
        <x:v>0/5</x:v>
      </x:c>
      <x:c r="D111" s="22" t="n">
        <x:v>0</x:v>
      </x:c>
      <x:c r="E111" s="22" t="n">
        <x:v>5</x:v>
      </x:c>
      <x:c r="F111" s="24" t="str">
        <x:v>Rare</x:v>
      </x:c>
      <x:c r="G111" s="24" t="str">
        <x:v>Magic</x:v>
      </x:c>
      <x:c r="H111" s="24" t="str">
        <x:v>Neutral</x:v>
      </x:c>
      <x:c r="I111" s="18" t="str">
        <x:v>Taunt. Passive: Enemy minions that attack this become Chained</x:v>
      </x:c>
      <x:c r="J111" s="18" t="str">
        <x:v>He sleeps in his sleep</x:v>
      </x:c>
      <x:c r="K111" s="18" t="str">
        <x:v>Hades</x:v>
      </x:c>
      <x:c r="L111" s="17" t="str">
        <x:v>c067</x:v>
      </x:c>
    </x:row>
    <x:row r="112" ht="42" customHeight="1">
      <x:c r="A112" s="21" t="n">
        <x:v>4</x:v>
      </x:c>
      <x:c r="B112" s="14" t="str">
        <x:v>Kite</x:v>
      </x:c>
      <x:c r="C112" s="23" t="str">
        <x:f>D112&amp;"/"&amp;E112</x:f>
        <x:v>1/2</x:v>
      </x:c>
      <x:c r="D112" s="21" t="n">
        <x:v>1</x:v>
      </x:c>
      <x:c r="E112" s="21" t="n">
        <x:v>2</x:v>
      </x:c>
      <x:c r="F112" s="23" t="str">
        <x:v>Epic</x:v>
      </x:c>
      <x:c r="G112" s="23" t="str">
        <x:v>Magic</x:v>
      </x:c>
      <x:c r="H112" s="23" t="str">
        <x:v>Good</x:v>
      </x:c>
      <x:c r="I112" s="13" t="str">
        <x:v>Ongoing: Roll a dice to gain from +1/+1 to +3/+3</x:v>
      </x:c>
      <x:c r="J112" s="13" t="str">
        <x:v>Spin the wheel</x:v>
      </x:c>
      <x:c r="K112" s="13" t="str">
        <x:v>HxH</x:v>
      </x:c>
      <x:c r="L112" s="12" t="str">
        <x:v>c113</x:v>
      </x:c>
    </x:row>
    <x:row r="113" ht="60" customHeight="1">
      <x:c r="A113" s="22" t="n">
        <x:v>4</x:v>
      </x:c>
      <x:c r="B113" s="19" t="str">
        <x:v>Lord Voldemort</x:v>
      </x:c>
      <x:c r="C113" s="24" t="str">
        <x:f>D113&amp;"/"&amp;E113</x:f>
        <x:v>4/4</x:v>
      </x:c>
      <x:c r="D113" s="22" t="n">
        <x:v>4</x:v>
      </x:c>
      <x:c r="E113" s="22" t="n">
        <x:v>4</x:v>
      </x:c>
      <x:c r="F113" s="24" t="str">
        <x:v>Epic</x:v>
      </x:c>
      <x:c r="G113" s="24" t="str">
        <x:v>Magic</x:v>
      </x:c>
      <x:c r="H113" s="24" t="str">
        <x:v>Evil</x:v>
      </x:c>
      <x:c r="I113" s="18" t="str">
        <x:v>Passive: Any time Voldemort would die, destroy the lowest-HP other friendly minion instead and restore Voldemort to full HP. If he is alone, he dies normally</x:v>
      </x:c>
      <x:c r="J113" s="18" t="str">
        <x:v>Seven horcruxes</x:v>
      </x:c>
      <x:c r="K113" s="18" t="str">
        <x:v>Harry Potter</x:v>
      </x:c>
      <x:c r="L113" s="17" t="str">
        <x:v>c114</x:v>
      </x:c>
    </x:row>
    <x:row r="114" ht="44" customHeight="1">
      <x:c r="A114" s="21" t="n">
        <x:v>4</x:v>
      </x:c>
      <x:c r="B114" s="14" t="str">
        <x:v>Morpheus</x:v>
      </x:c>
      <x:c r="C114" s="23" t="str">
        <x:f>D114&amp;"/"&amp;E114</x:f>
        <x:v>2/3</x:v>
      </x:c>
      <x:c r="D114" s="21" t="n">
        <x:v>2</x:v>
      </x:c>
      <x:c r="E114" s="21" t="n">
        <x:v>3</x:v>
      </x:c>
      <x:c r="F114" s="23" t="str">
        <x:v>Epic</x:v>
      </x:c>
      <x:c r="G114" s="23" t="str">
        <x:v>Tech</x:v>
      </x:c>
      <x:c r="H114" s="23" t="str">
        <x:v>Good</x:v>
      </x:c>
      <x:c r="I114" s="13" t="str">
        <x:v>Battlecry: Discover a random Good or Evil minion from the deck. Draw it</x:v>
      </x:c>
      <x:c r="J114" s="13" t="str">
        <x:v>He doesn't offer truth—only the courage to face it</x:v>
      </x:c>
      <x:c r="K114" s="13" t="str">
        <x:v>Matrix</x:v>
      </x:c>
      <x:c r="L114" s="12" t="str">
        <x:v>c054</x:v>
      </x:c>
    </x:row>
    <x:row r="115" ht="44" customHeight="1">
      <x:c r="A115" s="22" t="n">
        <x:v>4</x:v>
      </x:c>
      <x:c r="B115" s="19" t="str">
        <x:v>Motoko Kusanagi</x:v>
      </x:c>
      <x:c r="C115" s="24" t="str">
        <x:f>D115&amp;"/"&amp;E115</x:f>
        <x:v>2/1</x:v>
      </x:c>
      <x:c r="D115" s="22" t="n">
        <x:v>2</x:v>
      </x:c>
      <x:c r="E115" s="22" t="n">
        <x:v>1</x:v>
      </x:c>
      <x:c r="F115" s="24" t="str">
        <x:v>Legendary</x:v>
      </x:c>
      <x:c r="G115" s="24" t="str">
        <x:v>Tech</x:v>
      </x:c>
      <x:c r="H115" s="24" t="str">
        <x:v>Good</x:v>
      </x:c>
      <x:c r="I115" s="18" t="str">
        <x:v>Battlecry: Take control of an enemy Tech minion with 4 HP or less until the end of your next turn</x:v>
      </x:c>
      <x:c r="J115" s="18" t="str">
        <x:v>The ghost can choose the shell.</x:v>
      </x:c>
      <x:c r="K115" s="18" t="str">
        <x:v>Ghost in the Shell</x:v>
      </x:c>
      <x:c r="L115" s="17" t="str">
        <x:v>c181</x:v>
      </x:c>
    </x:row>
    <x:row r="116" ht="42" customHeight="1">
      <x:c r="A116" s="21" t="n">
        <x:v>4</x:v>
      </x:c>
      <x:c r="B116" s="14" t="str">
        <x:v>Musashi</x:v>
      </x:c>
      <x:c r="C116" s="23" t="str">
        <x:f>D116&amp;"/"&amp;E116</x:f>
        <x:v>2/1</x:v>
      </x:c>
      <x:c r="D116" s="21" t="n">
        <x:v>2</x:v>
      </x:c>
      <x:c r="E116" s="21" t="n">
        <x:v>1</x:v>
      </x:c>
      <x:c r="F116" s="23" t="str">
        <x:v>Legendary</x:v>
      </x:c>
      <x:c r="G116" s="23" t="str">
        <x:v>Nature</x:v>
      </x:c>
      <x:c r="H116" s="23" t="str">
        <x:v>Neutral</x:v>
      </x:c>
      <x:c r="I116" s="13" t="str">
        <x:v>Battlecry: Destroy all damaged enemy minions</x:v>
      </x:c>
      <x:c r="J116" s="13" t="str">
        <x:v>Another duel to win</x:v>
      </x:c>
      <x:c r="K116" s="13" t="str">
        <x:v>Baki</x:v>
      </x:c>
      <x:c r="L116" s="12" t="str">
        <x:v>c108</x:v>
      </x:c>
    </x:row>
    <x:row r="117" ht="44" customHeight="1">
      <x:c r="A117" s="22" t="n">
        <x:v>4</x:v>
      </x:c>
      <x:c r="B117" s="19" t="str">
        <x:v>Nine Hashira</x:v>
      </x:c>
      <x:c r="C117" s="24" t="str">
        <x:f>D117&amp;"/"&amp;E117</x:f>
        <x:v>3/3</x:v>
      </x:c>
      <x:c r="D117" s="22" t="n">
        <x:v>3</x:v>
      </x:c>
      <x:c r="E117" s="22" t="n">
        <x:v>3</x:v>
      </x:c>
      <x:c r="F117" s="24" t="str">
        <x:v>Legendary</x:v>
      </x:c>
      <x:c r="G117" s="24" t="str">
        <x:v>Nature</x:v>
      </x:c>
      <x:c r="H117" s="24" t="str">
        <x:v>Good</x:v>
      </x:c>
      <x:c r="I117" s="18" t="str">
        <x:v>Battlecry: Choose an enemy Evil minion. Every friendly minion attacks it immediately</x:v>
      </x:c>
      <x:c r="J117" s="18" t="str">
        <x:v>Nine pillars holding the sky</x:v>
      </x:c>
      <x:c r="K117" s="18" t="str">
        <x:v>Demon Slayer</x:v>
      </x:c>
      <x:c r="L117" s="17" t="str">
        <x:v>c109</x:v>
      </x:c>
    </x:row>
    <x:row r="118" ht="44" customHeight="1">
      <x:c r="A118" s="21" t="n">
        <x:v>4</x:v>
      </x:c>
      <x:c r="B118" s="14" t="str">
        <x:v>Pillar Men</x:v>
      </x:c>
      <x:c r="C118" s="23" t="str">
        <x:f>D118&amp;"/"&amp;E118</x:f>
        <x:v>4/4</x:v>
      </x:c>
      <x:c r="D118" s="21" t="n">
        <x:v>4</x:v>
      </x:c>
      <x:c r="E118" s="21" t="n">
        <x:v>4</x:v>
      </x:c>
      <x:c r="F118" s="23" t="str">
        <x:v>Rare</x:v>
      </x:c>
      <x:c r="G118" s="23" t="str">
        <x:v>Nature</x:v>
      </x:c>
      <x:c r="H118" s="23" t="str">
        <x:v>Evil</x:v>
      </x:c>
      <x:c r="I118" s="13" t="str">
        <x:v>Chained. Passive: Whenever Pillar Men kills a minion, restore itself to full health</x:v>
      </x:c>
      <x:c r="J118" s="13" t="str">
        <x:v>They outwaited the sun.</x:v>
      </x:c>
      <x:c r="K118" s="13" t="str">
        <x:v>JoJo</x:v>
      </x:c>
      <x:c r="L118" s="12" t="str">
        <x:v>c157</x:v>
      </x:c>
    </x:row>
    <x:row r="119" ht="44" customHeight="1">
      <x:c r="A119" s="22" t="n">
        <x:v>4</x:v>
      </x:c>
      <x:c r="B119" s="19" t="str">
        <x:v>Po</x:v>
      </x:c>
      <x:c r="C119" s="24" t="str">
        <x:f>D119&amp;"/"&amp;E119</x:f>
        <x:v>3/3</x:v>
      </x:c>
      <x:c r="D119" s="22" t="n">
        <x:v>3</x:v>
      </x:c>
      <x:c r="E119" s="22" t="n">
        <x:v>3</x:v>
      </x:c>
      <x:c r="F119" s="24" t="str">
        <x:v>Legendary</x:v>
      </x:c>
      <x:c r="G119" s="24" t="str">
        <x:v>Nature</x:v>
      </x:c>
      <x:c r="H119" s="24" t="str">
        <x:v>Good</x:v>
      </x:c>
      <x:c r="I119" s="18" t="str">
        <x:v>Passive: Gain +1/+1 each time you survive after attacking or defending</x:v>
      </x:c>
      <x:c r="J119" s="18" t="str">
        <x:v>Chosen by accident. Or destiny?</x:v>
      </x:c>
      <x:c r="K119" s="18" t="str">
        <x:v>Kung-Fu Panda</x:v>
      </x:c>
      <x:c r="L119" s="17" t="str">
        <x:v>c110</x:v>
      </x:c>
    </x:row>
    <x:row r="120" ht="42" customHeight="1">
      <x:c r="A120" s="21" t="n">
        <x:v>4</x:v>
      </x:c>
      <x:c r="B120" s="14" t="str">
        <x:v>Rudeus Greyrat</x:v>
      </x:c>
      <x:c r="C120" s="23" t="str">
        <x:f>D120&amp;"/"&amp;E120</x:f>
        <x:v>2/2</x:v>
      </x:c>
      <x:c r="D120" s="21" t="n">
        <x:v>2</x:v>
      </x:c>
      <x:c r="E120" s="21" t="n">
        <x:v>2</x:v>
      </x:c>
      <x:c r="F120" s="23" t="str">
        <x:v>Legendary</x:v>
      </x:c>
      <x:c r="G120" s="23" t="str">
        <x:v>Magic</x:v>
      </x:c>
      <x:c r="H120" s="23" t="str">
        <x:v>Good</x:v>
      </x:c>
      <x:c r="I120" s="13" t="str">
        <x:v>Divine Shield. Passive: Your Hero Power costs 0</x:v>
      </x:c>
      <x:c r="J120" s="13" t="str">
        <x:v>Silent casting, overwhelming force.</x:v>
      </x:c>
      <x:c r="K120" s="13" t="str">
        <x:v>Mushoku Tensei</x:v>
      </x:c>
      <x:c r="L120" s="12" t="str">
        <x:v>c179</x:v>
      </x:c>
    </x:row>
    <x:row r="121" ht="42" customHeight="1">
      <x:c r="A121" s="22" t="n">
        <x:v>4</x:v>
      </x:c>
      <x:c r="B121" s="19" t="str">
        <x:v>Sans</x:v>
      </x:c>
      <x:c r="C121" s="24" t="str">
        <x:f>D121&amp;"/"&amp;E121</x:f>
        <x:v>2/1</x:v>
      </x:c>
      <x:c r="D121" s="22" t="n">
        <x:v>2</x:v>
      </x:c>
      <x:c r="E121" s="22" t="n">
        <x:v>1</x:v>
      </x:c>
      <x:c r="F121" s="24" t="str">
        <x:v>Epic</x:v>
      </x:c>
      <x:c r="G121" s="24" t="str">
        <x:v>Magic</x:v>
      </x:c>
      <x:c r="H121" s="24" t="str">
        <x:v>Neutral</x:v>
      </x:c>
      <x:c r="I121" s="18" t="str">
        <x:v>Passive: Evade 80% of attacks</x:v>
      </x:c>
      <x:c r="J121" s="18" t="str">
        <x:v>HELLO, WORLD!</x:v>
      </x:c>
      <x:c r="K121" s="18" t="str">
        <x:v>Undertale</x:v>
      </x:c>
      <x:c r="L121" s="17" t="str">
        <x:v>c063</x:v>
      </x:c>
    </x:row>
    <x:row r="122" ht="42" customHeight="1">
      <x:c r="A122" s="21" t="n">
        <x:v>4</x:v>
      </x:c>
      <x:c r="B122" s="14" t="str">
        <x:v>Spider-Man</x:v>
      </x:c>
      <x:c r="C122" s="23" t="str">
        <x:f>D122&amp;"/"&amp;E122</x:f>
        <x:v>3/3</x:v>
      </x:c>
      <x:c r="D122" s="21" t="n">
        <x:v>3</x:v>
      </x:c>
      <x:c r="E122" s="21" t="n">
        <x:v>3</x:v>
      </x:c>
      <x:c r="F122" s="23" t="str">
        <x:v>Rare</x:v>
      </x:c>
      <x:c r="G122" s="23" t="str">
        <x:v>Nature</x:v>
      </x:c>
      <x:c r="H122" s="23" t="str">
        <x:v>Good</x:v>
      </x:c>
      <x:c r="I122" s="13" t="str">
        <x:v>Battlecry: Freeze an enemy minion and halve its ATK</x:v>
      </x:c>
      <x:c r="J122" s="13" t="str">
        <x:v>Responsibility.</x:v>
      </x:c>
      <x:c r="K122" s="13" t="str">
        <x:v>MCU</x:v>
      </x:c>
      <x:c r="L122" s="12" t="str">
        <x:v>c035</x:v>
      </x:c>
    </x:row>
    <x:row r="123" ht="42" customHeight="1">
      <x:c r="A123" s="22" t="n">
        <x:v>4</x:v>
      </x:c>
      <x:c r="B123" s="19" t="str">
        <x:v>Wall of Flesh</x:v>
      </x:c>
      <x:c r="C123" s="24" t="str">
        <x:f>D123&amp;"/"&amp;E123</x:f>
        <x:v>2/5</x:v>
      </x:c>
      <x:c r="D123" s="22" t="n">
        <x:v>2</x:v>
      </x:c>
      <x:c r="E123" s="22" t="n">
        <x:v>5</x:v>
      </x:c>
      <x:c r="F123" s="24" t="str">
        <x:v>Rare</x:v>
      </x:c>
      <x:c r="G123" s="24" t="str">
        <x:v>Nature</x:v>
      </x:c>
      <x:c r="H123" s="24" t="str">
        <x:v>Evil</x:v>
      </x:c>
      <x:c r="I123" s="18" t="str">
        <x:v>Taunt. Ongoing: Deal 1 damage to all other minions</x:v>
      </x:c>
      <x:c r="J123" s="18" t="str">
        <x:v>A living barricade</x:v>
      </x:c>
      <x:c r="K123" s="18" t="str">
        <x:v>Terraria</x:v>
      </x:c>
      <x:c r="L123" s="17" t="str">
        <x:v>c122</x:v>
      </x:c>
    </x:row>
    <x:row r="124" ht="42" customHeight="1">
      <x:c r="A124" s="21" t="n">
        <x:v>4</x:v>
      </x:c>
      <x:c r="B124" s="14" t="str">
        <x:v>Xenomorph Queen</x:v>
      </x:c>
      <x:c r="C124" s="23" t="str">
        <x:f>D124&amp;"/"&amp;E124</x:f>
        <x:v>1/4</x:v>
      </x:c>
      <x:c r="D124" s="21" t="n">
        <x:v>1</x:v>
      </x:c>
      <x:c r="E124" s="21" t="n">
        <x:v>4</x:v>
      </x:c>
      <x:c r="F124" s="23" t="str">
        <x:v>Rare</x:v>
      </x:c>
      <x:c r="G124" s="23" t="str">
        <x:v>Nature</x:v>
      </x:c>
      <x:c r="H124" s="23" t="str">
        <x:v>Evil</x:v>
      </x:c>
      <x:c r="I124" s="13" t="str">
        <x:v>Passive: Whenever a friendly minion dies summon a 1/1 Larva</x:v>
      </x:c>
      <x:c r="J124" s="13" t="str">
        <x:v>The hive has a mother.</x:v>
      </x:c>
      <x:c r="K124" s="13" t="str">
        <x:v>Alien</x:v>
      </x:c>
      <x:c r="L124" s="12" t="str">
        <x:v>c182</x:v>
      </x:c>
    </x:row>
    <x:row r="125" ht="44" customHeight="1">
      <x:c r="A125" s="22" t="n">
        <x:v>4</x:v>
      </x:c>
      <x:c r="B125" s="19" t="str">
        <x:v>Yubaba</x:v>
      </x:c>
      <x:c r="C125" s="24" t="str">
        <x:f>D125&amp;"/"&amp;E125</x:f>
        <x:v>2/2</x:v>
      </x:c>
      <x:c r="D125" s="22" t="n">
        <x:v>2</x:v>
      </x:c>
      <x:c r="E125" s="22" t="n">
        <x:v>2</x:v>
      </x:c>
      <x:c r="F125" s="24" t="str">
        <x:v>Mythic</x:v>
      </x:c>
      <x:c r="G125" s="24" t="str">
        <x:v>Magic</x:v>
      </x:c>
      <x:c r="H125" s="24" t="str">
        <x:v>Evil</x:v>
      </x:c>
      <x:c r="I125" s="18" t="str">
        <x:v>Battlecry: Devolve your enemy minions into random ones that cost 1 less mana</x:v>
      </x:c>
      <x:c r="J125" s="18" t="str">
        <x:v>Are you looking for employment?</x:v>
      </x:c>
      <x:c r="K125" s="18" t="str">
        <x:v>Spirited Away</x:v>
      </x:c>
      <x:c r="L125" s="17" t="str">
        <x:v>c034</x:v>
      </x:c>
    </x:row>
    <x:row r="126" ht="42" customHeight="1">
      <x:c r="A126" s="21" t="n">
        <x:v>4</x:v>
      </x:c>
      <x:c r="B126" s="14" t="str">
        <x:v>Yujiro</x:v>
      </x:c>
      <x:c r="C126" s="23" t="str">
        <x:f>D126&amp;"/"&amp;E126</x:f>
        <x:v>4/4</x:v>
      </x:c>
      <x:c r="D126" s="21" t="n">
        <x:v>4</x:v>
      </x:c>
      <x:c r="E126" s="21" t="n">
        <x:v>4</x:v>
      </x:c>
      <x:c r="F126" s="23" t="str">
        <x:v>Mythic</x:v>
      </x:c>
      <x:c r="G126" s="23" t="str">
        <x:v>Nature</x:v>
      </x:c>
      <x:c r="H126" s="23" t="str">
        <x:v>Evil</x:v>
      </x:c>
      <x:c r="I126" s="13" t="str">
        <x:v>Passive: Immune to Nature minions</x:v>
      </x:c>
      <x:c r="J126" s="13" t="str">
        <x:v>The strongest man alive.</x:v>
      </x:c>
      <x:c r="K126" s="13" t="str">
        <x:v>Baki</x:v>
      </x:c>
      <x:c r="L126" s="12" t="str">
        <x:v>c033</x:v>
      </x:c>
    </x:row>
    <x:row r="127" ht="42" customHeight="1">
      <x:c r="A127" s="22" t="n">
        <x:v>3</x:v>
      </x:c>
      <x:c r="B127" s="19" t="str">
        <x:v>Aizawa</x:v>
      </x:c>
      <x:c r="C127" s="24" t="str">
        <x:f>D127&amp;"/"&amp;E127</x:f>
        <x:v>2/2</x:v>
      </x:c>
      <x:c r="D127" s="22" t="n">
        <x:v>2</x:v>
      </x:c>
      <x:c r="E127" s="22" t="n">
        <x:v>2</x:v>
      </x:c>
      <x:c r="F127" s="24" t="str">
        <x:v>Legendary</x:v>
      </x:c>
      <x:c r="G127" s="24" t="str">
        <x:v>Magic</x:v>
      </x:c>
      <x:c r="H127" s="24" t="str">
        <x:v>Good</x:v>
      </x:c>
      <x:c r="I127" s="18" t="str">
        <x:v>Battlecry: Silence an enemy minion of your choice</x:v>
      </x:c>
      <x:c r="J127" s="18" t="str">
        <x:v>All it takes is one look</x:v>
      </x:c>
      <x:c r="K127" s="18" t="str">
        <x:v>MHA</x:v>
      </x:c>
      <x:c r="L127" s="17" t="str">
        <x:v>c125</x:v>
      </x:c>
    </x:row>
    <x:row r="128" ht="44" customHeight="1">
      <x:c r="A128" s="21" t="n">
        <x:v>3</x:v>
      </x:c>
      <x:c r="B128" s="14" t="str">
        <x:v>APR</x:v>
      </x:c>
      <x:c r="C128" s="23" t="str">
        <x:f>D128&amp;"/"&amp;E128</x:f>
        <x:v>0/3</x:v>
      </x:c>
      <x:c r="D128" s="21" t="n">
        <x:v>0</x:v>
      </x:c>
      <x:c r="E128" s="21" t="n">
        <x:v>3</x:v>
      </x:c>
      <x:c r="F128" s="23" t="str">
        <x:v>Rare</x:v>
      </x:c>
      <x:c r="G128" s="23" t="str">
        <x:v>Magic</x:v>
      </x:c>
      <x:c r="H128" s="23" t="str">
        <x:v>Good</x:v>
      </x:c>
      <x:c r="I128" s="13" t="str">
        <x:v>Taunt. Passive: After the enemy minion attacks this minion, it can't attack for 2 turns</x:v>
      </x:c>
      <x:c r="J128" s="13" t="str">
        <x:v>Taxes</x:v>
      </x:c>
      <x:c r="K128" s="13" t="str">
        <x:v>HxH</x:v>
      </x:c>
      <x:c r="L128" s="12" t="str">
        <x:v>c135</x:v>
      </x:c>
    </x:row>
    <x:row r="129" ht="42" customHeight="1">
      <x:c r="A129" s="22" t="n">
        <x:v>3</x:v>
      </x:c>
      <x:c r="B129" s="19" t="str">
        <x:v>Dabi</x:v>
      </x:c>
      <x:c r="C129" s="24" t="str">
        <x:f>D129&amp;"/"&amp;E129</x:f>
        <x:v>3/3</x:v>
      </x:c>
      <x:c r="D129" s="22" t="n">
        <x:v>3</x:v>
      </x:c>
      <x:c r="E129" s="22" t="n">
        <x:v>3</x:v>
      </x:c>
      <x:c r="F129" s="24" t="str">
        <x:v>Epic</x:v>
      </x:c>
      <x:c r="G129" s="24" t="str">
        <x:v>Magic</x:v>
      </x:c>
      <x:c r="H129" s="24" t="str">
        <x:v>Evil</x:v>
      </x:c>
      <x:c r="I129" s="18" t="str">
        <x:v>Battlecry: Deal 1 damage to all other minions</x:v>
      </x:c>
      <x:c r="J129" s="18" t="str">
        <x:v>He burns with anger</x:v>
      </x:c>
      <x:c r="K129" s="18" t="str">
        <x:v>MHA</x:v>
      </x:c>
      <x:c r="L129" s="17" t="str">
        <x:v>c129</x:v>
      </x:c>
    </x:row>
    <x:row r="130" ht="44" customHeight="1">
      <x:c r="A130" s="21" t="n">
        <x:v>3</x:v>
      </x:c>
      <x:c r="B130" s="14" t="str">
        <x:v>Darkwing</x:v>
      </x:c>
      <x:c r="C130" s="23" t="str">
        <x:f>D130&amp;"/"&amp;E130</x:f>
        <x:v>2/2</x:v>
      </x:c>
      <x:c r="D130" s="21" t="n">
        <x:v>2</x:v>
      </x:c>
      <x:c r="E130" s="21" t="n">
        <x:v>2</x:v>
      </x:c>
      <x:c r="F130" s="23" t="str">
        <x:v>Mythic</x:v>
      </x:c>
      <x:c r="G130" s="23" t="str">
        <x:v>Tech</x:v>
      </x:c>
      <x:c r="H130" s="23" t="str">
        <x:v>Good</x:v>
      </x:c>
      <x:c r="I130" s="13" t="str">
        <x:v>Deathrattle: The minion which kills this minion also dies right after</x:v>
      </x:c>
      <x:c r="J130" s="13" t="str">
        <x:v>He knew the cost</x:v>
      </x:c>
      <x:c r="K130" s="13" t="str">
        <x:v>Invincible</x:v>
      </x:c>
      <x:c r="L130" s="12" t="str">
        <x:v>c123</x:v>
      </x:c>
    </x:row>
    <x:row r="131" ht="44" customHeight="1">
      <x:c r="A131" s="22" t="n">
        <x:v>3</x:v>
      </x:c>
      <x:c r="B131" s="19" t="str">
        <x:v>Giant Crystal</x:v>
      </x:c>
      <x:c r="C131" s="24" t="str">
        <x:f>D131&amp;"/"&amp;E131</x:f>
        <x:v>1/1</x:v>
      </x:c>
      <x:c r="D131" s="22" t="n">
        <x:v>1</x:v>
      </x:c>
      <x:c r="E131" s="22" t="n">
        <x:v>1</x:v>
      </x:c>
      <x:c r="F131" s="24" t="str">
        <x:v>Rare</x:v>
      </x:c>
      <x:c r="G131" s="24" t="str">
        <x:v>Magic</x:v>
      </x:c>
      <x:c r="H131" s="24" t="str">
        <x:v>Neutral</x:v>
      </x:c>
      <x:c r="I131" s="18" t="str">
        <x:v>Divine Shield. Ongoing: Give all other friendly Magic minions +2/+1</x:v>
      </x:c>
      <x:c r="J131" s="18" t="str">
        <x:v>Spawnpoint</x:v>
      </x:c>
      <x:c r="K131" s="18" t="str">
        <x:v>Core</x:v>
      </x:c>
      <x:c r="L131" s="17" t="str">
        <x:v>c137</x:v>
      </x:c>
    </x:row>
    <x:row r="132" ht="42" customHeight="1">
      <x:c r="A132" s="21" t="n">
        <x:v>3</x:v>
      </x:c>
      <x:c r="B132" s="14" t="str">
        <x:v>Giant Tree</x:v>
      </x:c>
      <x:c r="C132" s="23" t="str">
        <x:f>D132&amp;"/"&amp;E132</x:f>
        <x:v>1/1</x:v>
      </x:c>
      <x:c r="D132" s="21" t="n">
        <x:v>1</x:v>
      </x:c>
      <x:c r="E132" s="21" t="n">
        <x:v>1</x:v>
      </x:c>
      <x:c r="F132" s="23" t="str">
        <x:v>Rare</x:v>
      </x:c>
      <x:c r="G132" s="23" t="str">
        <x:v>Nature</x:v>
      </x:c>
      <x:c r="H132" s="23" t="str">
        <x:v>Neutral</x:v>
      </x:c>
      <x:c r="I132" s="13" t="str">
        <x:v>Passive: All other friendly Nature minions have +2/+1</x:v>
      </x:c>
      <x:c r="J132" s="13" t="str">
        <x:v>Older than the roots it feeds.</x:v>
      </x:c>
      <x:c r="K132" s="13" t="str">
        <x:v>Core</x:v>
      </x:c>
      <x:c r="L132" s="12" t="str">
        <x:v>c138</x:v>
      </x:c>
    </x:row>
    <x:row r="133" ht="44" customHeight="1">
      <x:c r="A133" s="22" t="n">
        <x:v>3</x:v>
      </x:c>
      <x:c r="B133" s="19" t="str">
        <x:v>Godrick the Grafted</x:v>
      </x:c>
      <x:c r="C133" s="24" t="str">
        <x:f>D133&amp;"/"&amp;E133</x:f>
        <x:v>2/2</x:v>
      </x:c>
      <x:c r="D133" s="22" t="n">
        <x:v>2</x:v>
      </x:c>
      <x:c r="E133" s="22" t="n">
        <x:v>2</x:v>
      </x:c>
      <x:c r="F133" s="24" t="str">
        <x:v>Epic</x:v>
      </x:c>
      <x:c r="G133" s="24" t="str">
        <x:v>Magic</x:v>
      </x:c>
      <x:c r="H133" s="24" t="str">
        <x:v>Evil</x:v>
      </x:c>
      <x:c r="I133" s="18" t="str">
        <x:v>Battlecry: Destroy a friendly minion to gain its stats and effects</x:v>
      </x:c>
      <x:c r="J133" s="18" t="str">
        <x:v>Grafted</x:v>
      </x:c>
      <x:c r="K133" s="18" t="str">
        <x:v>Elden Ring</x:v>
      </x:c>
      <x:c r="L133" s="17" t="str">
        <x:v>c130</x:v>
      </x:c>
    </x:row>
    <x:row r="134" ht="42" customHeight="1">
      <x:c r="A134" s="21" t="n">
        <x:v>3</x:v>
      </x:c>
      <x:c r="B134" s="14" t="str">
        <x:v>Gums</x:v>
      </x:c>
      <x:c r="C134" s="23" t="str">
        <x:f>D134&amp;"/"&amp;E134</x:f>
        <x:v>1/1</x:v>
      </x:c>
      <x:c r="D134" s="21" t="n">
        <x:v>1</x:v>
      </x:c>
      <x:c r="E134" s="21" t="n">
        <x:v>1</x:v>
      </x:c>
      <x:c r="F134" s="23" t="str">
        <x:v>Legendary</x:v>
      </x:c>
      <x:c r="G134" s="23" t="str">
        <x:v>Nature</x:v>
      </x:c>
      <x:c r="H134" s="23" t="str">
        <x:v>Evil</x:v>
      </x:c>
      <x:c r="I134" s="13" t="str">
        <x:v>Battlecry: Consume an enemy Nature minion with 4 HP or lower</x:v>
      </x:c>
      <x:c r="J134" s="13" t="str">
        <x:v>Insatiable hunger</x:v>
      </x:c>
      <x:c r="K134" s="13" t="str">
        <x:v>OPM</x:v>
      </x:c>
      <x:c r="L134" s="12" t="str">
        <x:v>c126</x:v>
      </x:c>
    </x:row>
    <x:row r="135" ht="42" customHeight="1">
      <x:c r="A135" s="22" t="n">
        <x:v>3</x:v>
      </x:c>
      <x:c r="B135" s="19" t="str">
        <x:v>Illumi</x:v>
      </x:c>
      <x:c r="C135" s="24" t="str">
        <x:f>D135&amp;"/"&amp;E135</x:f>
        <x:v>1/1</x:v>
      </x:c>
      <x:c r="D135" s="22" t="n">
        <x:v>1</x:v>
      </x:c>
      <x:c r="E135" s="22" t="n">
        <x:v>1</x:v>
      </x:c>
      <x:c r="F135" s="24" t="str">
        <x:v>Epic</x:v>
      </x:c>
      <x:c r="G135" s="24" t="str">
        <x:v>Magic</x:v>
      </x:c>
      <x:c r="H135" s="24" t="str">
        <x:v>Evil</x:v>
      </x:c>
      <x:c r="I135" s="18" t="str">
        <x:v>Battlecry: Gain control of a minion with 2 HP or less</x:v>
      </x:c>
      <x:c r="J135" s="18" t="str">
        <x:v>Control</x:v>
      </x:c>
      <x:c r="K135" s="18" t="str">
        <x:v>HxH</x:v>
      </x:c>
      <x:c r="L135" s="17" t="str">
        <x:v>c131</x:v>
      </x:c>
    </x:row>
    <x:row r="136" ht="42" customHeight="1">
      <x:c r="A136" s="21" t="n">
        <x:v>3</x:v>
      </x:c>
      <x:c r="B136" s="14" t="str">
        <x:v>Kento Nanami</x:v>
      </x:c>
      <x:c r="C136" s="23" t="str">
        <x:f>D136&amp;"/"&amp;E136</x:f>
        <x:v>1/1</x:v>
      </x:c>
      <x:c r="D136" s="21" t="n">
        <x:v>1</x:v>
      </x:c>
      <x:c r="E136" s="21" t="n">
        <x:v>1</x:v>
      </x:c>
      <x:c r="F136" s="23" t="str">
        <x:v>Epic</x:v>
      </x:c>
      <x:c r="G136" s="23" t="str">
        <x:v>Magic</x:v>
      </x:c>
      <x:c r="H136" s="23" t="str">
        <x:v>Good</x:v>
      </x:c>
      <x:c r="I136" s="13" t="str">
        <x:v>Battlecry: Set an enemy minion's HP to 1</x:v>
      </x:c>
      <x:c r="J136" s="13" t="str">
        <x:v>7:3 Ratio Technique</x:v>
      </x:c>
      <x:c r="K136" s="13" t="str">
        <x:v>Jujutsu Kaisen</x:v>
      </x:c>
      <x:c r="L136" s="12" t="str">
        <x:v>c132</x:v>
      </x:c>
    </x:row>
    <x:row r="137" ht="60" customHeight="1">
      <x:c r="A137" s="22" t="n">
        <x:v>3</x:v>
      </x:c>
      <x:c r="B137" s="19" t="str">
        <x:v>Knov</x:v>
      </x:c>
      <x:c r="C137" s="24" t="str">
        <x:f>D137&amp;"/"&amp;E137</x:f>
        <x:v>1/1</x:v>
      </x:c>
      <x:c r="D137" s="22" t="n">
        <x:v>1</x:v>
      </x:c>
      <x:c r="E137" s="22" t="n">
        <x:v>1</x:v>
      </x:c>
      <x:c r="F137" s="24" t="str">
        <x:v>Mythic</x:v>
      </x:c>
      <x:c r="G137" s="24" t="str">
        <x:v>Magic</x:v>
      </x:c>
      <x:c r="H137" s="24" t="str">
        <x:v>Good</x:v>
      </x:c>
      <x:c r="I137" s="18" t="str">
        <x:v>Battlecry: Choose a friendly and an enemy minion to place in the pocket room, removing them from the board. After 2 turns, return the minion with the higher ATK</x:v>
      </x:c>
      <x:c r="J137" s="18" t="str">
        <x:v>The Room</x:v>
      </x:c>
      <x:c r="K137" s="18" t="str">
        <x:v>HxH</x:v>
      </x:c>
      <x:c r="L137" s="17" t="str">
        <x:v>c124</x:v>
      </x:c>
    </x:row>
    <x:row r="138" ht="44" customHeight="1">
      <x:c r="A138" s="21" t="n">
        <x:v>3</x:v>
      </x:c>
      <x:c r="B138" s="14" t="str">
        <x:v>Kuma</x:v>
      </x:c>
      <x:c r="C138" s="23" t="str">
        <x:f>D138&amp;"/"&amp;E138</x:f>
        <x:v>2/3</x:v>
      </x:c>
      <x:c r="D138" s="21" t="n">
        <x:v>2</x:v>
      </x:c>
      <x:c r="E138" s="21" t="n">
        <x:v>3</x:v>
      </x:c>
      <x:c r="F138" s="23" t="str">
        <x:v>Epic</x:v>
      </x:c>
      <x:c r="G138" s="23" t="str">
        <x:v>Tech</x:v>
      </x:c>
      <x:c r="H138" s="23" t="str">
        <x:v>Good</x:v>
      </x:c>
      <x:c r="I138" s="13" t="str">
        <x:v>Battlecry: Return a friendly minion to your hand. It costs 5 less the next time it is played this game (minimum 1)</x:v>
      </x:c>
      <x:c r="J138" s="13" t="str">
        <x:v>Weapon</x:v>
      </x:c>
      <x:c r="K138" s="13" t="str">
        <x:v>One Piece</x:v>
      </x:c>
      <x:c r="L138" s="12" t="str">
        <x:v>c133</x:v>
      </x:c>
    </x:row>
    <x:row r="139" ht="42" customHeight="1">
      <x:c r="A139" s="22" t="n">
        <x:v>3</x:v>
      </x:c>
      <x:c r="B139" s="19" t="str">
        <x:v>Margit the Fell Omen</x:v>
      </x:c>
      <x:c r="C139" s="24" t="str">
        <x:f>D139&amp;"/"&amp;E139</x:f>
        <x:v>1/1</x:v>
      </x:c>
      <x:c r="D139" s="22" t="n">
        <x:v>1</x:v>
      </x:c>
      <x:c r="E139" s="22" t="n">
        <x:v>1</x:v>
      </x:c>
      <x:c r="F139" s="24" t="str">
        <x:v>Rare</x:v>
      </x:c>
      <x:c r="G139" s="24" t="str">
        <x:v>Magic</x:v>
      </x:c>
      <x:c r="H139" s="24" t="str">
        <x:v>Neutral</x:v>
      </x:c>
      <x:c r="I139" s="18" t="str">
        <x:v>Deathrattle: Summon Morgott, the Omen King (3/3)</x:v>
      </x:c>
      <x:c r="J139" s="18" t="str">
        <x:v>The immovable</x:v>
      </x:c>
      <x:c r="K139" s="18" t="str">
        <x:v>Elden Ring</x:v>
      </x:c>
      <x:c r="L139" s="17" t="str">
        <x:v>c155</x:v>
      </x:c>
    </x:row>
    <x:row r="140" ht="42" customHeight="1">
      <x:c r="A140" s="21" t="n">
        <x:v>3</x:v>
      </x:c>
      <x:c r="B140" s="14" t="str">
        <x:v>Modern Tank</x:v>
      </x:c>
      <x:c r="C140" s="23" t="str">
        <x:f>D140&amp;"/"&amp;E140</x:f>
        <x:v>2/2</x:v>
      </x:c>
      <x:c r="D140" s="21" t="n">
        <x:v>2</x:v>
      </x:c>
      <x:c r="E140" s="21" t="n">
        <x:v>2</x:v>
      </x:c>
      <x:c r="F140" s="23" t="str">
        <x:v>Rare</x:v>
      </x:c>
      <x:c r="G140" s="23" t="str">
        <x:v>Tech</x:v>
      </x:c>
      <x:c r="H140" s="23" t="str">
        <x:v>Neutral</x:v>
      </x:c>
      <x:c r="I140" s="13" t="str">
        <x:v>Battlecry: Deal 1 damage to an enemy minion</x:v>
      </x:c>
      <x:c r="J140" s="13" t="str">
        <x:v>-</x:v>
      </x:c>
      <x:c r="K140" s="13" t="str">
        <x:v>Basic</x:v>
      </x:c>
      <x:c r="L140" s="12" t="str">
        <x:v>c139</x:v>
      </x:c>
    </x:row>
    <x:row r="141" ht="42" customHeight="1">
      <x:c r="A141" s="22" t="n">
        <x:v>3</x:v>
      </x:c>
      <x:c r="B141" s="19" t="str">
        <x:v>Nyan</x:v>
      </x:c>
      <x:c r="C141" s="24" t="str">
        <x:f>D141&amp;"/"&amp;E141</x:f>
        <x:v>3/1</x:v>
      </x:c>
      <x:c r="D141" s="22" t="n">
        <x:v>3</x:v>
      </x:c>
      <x:c r="E141" s="22" t="n">
        <x:v>1</x:v>
      </x:c>
      <x:c r="F141" s="24" t="str">
        <x:v>Legendary</x:v>
      </x:c>
      <x:c r="G141" s="24" t="str">
        <x:v>Nature</x:v>
      </x:c>
      <x:c r="H141" s="24" t="str">
        <x:v>Evil</x:v>
      </x:c>
      <x:c r="I141" s="18" t="str">
        <x:v>Charge. Passive: Ignores Taunt</x:v>
      </x:c>
      <x:c r="J141" s="18" t="str">
        <x:v>Cat King</x:v>
      </x:c>
      <x:c r="K141" s="18" t="str">
        <x:v>OPM</x:v>
      </x:c>
      <x:c r="L141" s="17" t="str">
        <x:v>c127</x:v>
      </x:c>
    </x:row>
    <x:row r="142" ht="42" customHeight="1">
      <x:c r="A142" s="21" t="n">
        <x:v>3</x:v>
      </x:c>
      <x:c r="B142" s="14" t="str">
        <x:v>RoboCop</x:v>
      </x:c>
      <x:c r="C142" s="23" t="str">
        <x:f>D142&amp;"/"&amp;E142</x:f>
        <x:v>2/4</x:v>
      </x:c>
      <x:c r="D142" s="21" t="n">
        <x:v>2</x:v>
      </x:c>
      <x:c r="E142" s="21" t="n">
        <x:v>4</x:v>
      </x:c>
      <x:c r="F142" s="23" t="str">
        <x:v>Rare</x:v>
      </x:c>
      <x:c r="G142" s="23" t="str">
        <x:v>Tech</x:v>
      </x:c>
      <x:c r="H142" s="23" t="str">
        <x:v>Good</x:v>
      </x:c>
      <x:c r="I142" s="13" t="str">
        <x:v>Passive: Deal 3x damage against Evil minions</x:v>
      </x:c>
      <x:c r="J142" s="13" t="str">
        <x:v>Uphold the law</x:v>
      </x:c>
      <x:c r="K142" s="13" t="str">
        <x:v>RoboCop</x:v>
      </x:c>
      <x:c r="L142" s="12" t="str">
        <x:v>c140</x:v>
      </x:c>
    </x:row>
    <x:row r="143" ht="44" customHeight="1">
      <x:c r="A143" s="22" t="n">
        <x:v>3</x:v>
      </x:c>
      <x:c r="B143" s="19" t="str">
        <x:v>Tai Lung</x:v>
      </x:c>
      <x:c r="C143" s="24" t="str">
        <x:f>D143&amp;"/"&amp;E143</x:f>
        <x:v>3/3</x:v>
      </x:c>
      <x:c r="D143" s="22" t="n">
        <x:v>3</x:v>
      </x:c>
      <x:c r="E143" s="22" t="n">
        <x:v>3</x:v>
      </x:c>
      <x:c r="F143" s="24" t="str">
        <x:v>Epic</x:v>
      </x:c>
      <x:c r="G143" s="24" t="str">
        <x:v>Nature</x:v>
      </x:c>
      <x:c r="H143" s="24" t="str">
        <x:v>Evil</x:v>
      </x:c>
      <x:c r="I143" s="18" t="str">
        <x:v>Chained. Passive: Whenever Tai Lung kills a minion, gain +1/+1 and its keywords</x:v>
      </x:c>
      <x:c r="J143" s="18" t="str">
        <x:v>Imprisoned for 20 years</x:v>
      </x:c>
      <x:c r="K143" s="18" t="str">
        <x:v>Kung-Fu Panda</x:v>
      </x:c>
      <x:c r="L143" s="17" t="str">
        <x:v>c134</x:v>
      </x:c>
    </x:row>
    <x:row r="144" ht="44" customHeight="1">
      <x:c r="A144" s="21" t="n">
        <x:v>3</x:v>
      </x:c>
      <x:c r="B144" s="14" t="str">
        <x:v>Tech Hub</x:v>
      </x:c>
      <x:c r="C144" s="23" t="str">
        <x:f>D144&amp;"/"&amp;E144</x:f>
        <x:v>1/1</x:v>
      </x:c>
      <x:c r="D144" s="21" t="n">
        <x:v>1</x:v>
      </x:c>
      <x:c r="E144" s="21" t="n">
        <x:v>1</x:v>
      </x:c>
      <x:c r="F144" s="23" t="str">
        <x:v>Rare</x:v>
      </x:c>
      <x:c r="G144" s="23" t="str">
        <x:v>Tech</x:v>
      </x:c>
      <x:c r="H144" s="23" t="str">
        <x:v>Neutral</x:v>
      </x:c>
      <x:c r="I144" s="13" t="str">
        <x:v>Divine Shield. Ongoing: Give all other friendly Tech minions +2/+1</x:v>
      </x:c>
      <x:c r="J144" s="13" t="str">
        <x:v>Every machine came from somewhere. This is that somewhere</x:v>
      </x:c>
      <x:c r="K144" s="13" t="str">
        <x:v>Core</x:v>
      </x:c>
      <x:c r="L144" s="12" t="str">
        <x:v>c141</x:v>
      </x:c>
    </x:row>
    <x:row r="145" ht="42" customHeight="1">
      <x:c r="A145" s="22" t="n">
        <x:v>3</x:v>
      </x:c>
      <x:c r="B145" s="19" t="str">
        <x:v>The Five Convicts</x:v>
      </x:c>
      <x:c r="C145" s="24" t="str">
        <x:f>D145&amp;"/"&amp;E145</x:f>
        <x:v>5/1</x:v>
      </x:c>
      <x:c r="D145" s="22" t="n">
        <x:v>5</x:v>
      </x:c>
      <x:c r="E145" s="22" t="n">
        <x:v>1</x:v>
      </x:c>
      <x:c r="F145" s="24" t="str">
        <x:v>Legendary</x:v>
      </x:c>
      <x:c r="G145" s="24" t="str">
        <x:v>Nature</x:v>
      </x:c>
      <x:c r="H145" s="24" t="str">
        <x:v>Evil</x:v>
      </x:c>
      <x:c r="I145" s="18" t="str">
        <x:v>Taunt</x:v>
      </x:c>
      <x:c r="J145" s="18" t="str">
        <x:v>death sentence</x:v>
      </x:c>
      <x:c r="K145" s="18" t="str">
        <x:v>Baki</x:v>
      </x:c>
      <x:c r="L145" s="17" t="str">
        <x:v>c128</x:v>
      </x:c>
    </x:row>
    <x:row r="146" ht="44" customHeight="1">
      <x:c r="A146" s="21" t="n">
        <x:v>3</x:v>
      </x:c>
      <x:c r="B146" s="14" t="str">
        <x:v>Yoriichi Type Zero</x:v>
      </x:c>
      <x:c r="C146" s="23" t="str">
        <x:f>D146&amp;"/"&amp;E146</x:f>
        <x:v>2/2</x:v>
      </x:c>
      <x:c r="D146" s="21" t="n">
        <x:v>2</x:v>
      </x:c>
      <x:c r="E146" s="21" t="n">
        <x:v>2</x:v>
      </x:c>
      <x:c r="F146" s="23" t="str">
        <x:v>Rare</x:v>
      </x:c>
      <x:c r="G146" s="23" t="str">
        <x:v>Tech</x:v>
      </x:c>
      <x:c r="H146" s="23" t="str">
        <x:v>Neutral</x:v>
      </x:c>
      <x:c r="I146" s="13" t="str">
        <x:v>Passive: Whenever a friendly minion survives a combat, it gains +1/+1</x:v>
      </x:c>
      <x:c r="J146" s="13" t="str">
        <x:v>Strongest puppet</x:v>
      </x:c>
      <x:c r="K146" s="13" t="str">
        <x:v>Demon Slayer</x:v>
      </x:c>
      <x:c r="L146" s="12" t="str">
        <x:v>c093</x:v>
      </x:c>
    </x:row>
    <x:row r="147" ht="44" customHeight="1">
      <x:c r="A147" s="22" t="n">
        <x:v>2</x:v>
      </x:c>
      <x:c r="B147" s="19" t="str">
        <x:v>Batman</x:v>
      </x:c>
      <x:c r="C147" s="24" t="str">
        <x:f>D147&amp;"/"&amp;E147</x:f>
        <x:v>1/1</x:v>
      </x:c>
      <x:c r="D147" s="22" t="n">
        <x:v>1</x:v>
      </x:c>
      <x:c r="E147" s="22" t="n">
        <x:v>1</x:v>
      </x:c>
      <x:c r="F147" s="24" t="str">
        <x:v>Epic</x:v>
      </x:c>
      <x:c r="G147" s="24" t="str">
        <x:v>Tech</x:v>
      </x:c>
      <x:c r="H147" s="24" t="str">
        <x:v>Good</x:v>
      </x:c>
      <x:c r="I147" s="18" t="str">
        <x:v>Battlecry: Choose an enemy minion. Choose one gadget: Freeze it; Silence it; or give it -3 ATK</x:v>
      </x:c>
      <x:c r="J147" s="18" t="str">
        <x:v>Preparation beats power.</x:v>
      </x:c>
      <x:c r="K147" s="18" t="str">
        <x:v>DCU</x:v>
      </x:c>
      <x:c r="L147" s="17" t="str">
        <x:v>c005</x:v>
      </x:c>
    </x:row>
    <x:row r="148" ht="42" customHeight="1">
      <x:c r="A148" s="21" t="n">
        <x:v>2</x:v>
      </x:c>
      <x:c r="B148" s="14" t="str">
        <x:v>Bigfoot</x:v>
      </x:c>
      <x:c r="C148" s="23" t="str">
        <x:f>D148&amp;"/"&amp;E148</x:f>
        <x:v>2/2</x:v>
      </x:c>
      <x:c r="D148" s="21" t="n">
        <x:v>2</x:v>
      </x:c>
      <x:c r="E148" s="21" t="n">
        <x:v>2</x:v>
      </x:c>
      <x:c r="F148" s="23" t="str">
        <x:v>Rare</x:v>
      </x:c>
      <x:c r="G148" s="23" t="str">
        <x:v>Nature</x:v>
      </x:c>
      <x:c r="H148" s="23" t="str">
        <x:v>Neutral</x:v>
      </x:c>
      <x:c r="I148" s="13" t="str">
        <x:v>Passive: Evades 50% of incoming attacks</x:v>
      </x:c>
      <x:c r="J148" s="13" t="str">
        <x:v>The woods answer with silence.</x:v>
      </x:c>
      <x:c r="K148" s="13" t="str">
        <x:v>Myth</x:v>
      </x:c>
      <x:c r="L148" s="12" t="str">
        <x:v>c004</x:v>
      </x:c>
    </x:row>
    <x:row r="149" ht="42" customHeight="1">
      <x:c r="A149" s="22" t="n">
        <x:v>2</x:v>
      </x:c>
      <x:c r="B149" s="19" t="str">
        <x:v>Black Ops</x:v>
      </x:c>
      <x:c r="C149" s="24" t="str">
        <x:f>D149&amp;"/"&amp;E149</x:f>
        <x:v>2/2</x:v>
      </x:c>
      <x:c r="D149" s="22" t="n">
        <x:v>2</x:v>
      </x:c>
      <x:c r="E149" s="22" t="n">
        <x:v>2</x:v>
      </x:c>
      <x:c r="F149" s="24" t="str">
        <x:v>Rare</x:v>
      </x:c>
      <x:c r="G149" s="24" t="str">
        <x:v>Tech</x:v>
      </x:c>
      <x:c r="H149" s="24" t="str">
        <x:v>Neutral</x:v>
      </x:c>
      <x:c r="I149" s="18" t="str">
        <x:v>Passive: Ignore Taunt</x:v>
      </x:c>
      <x:c r="J149" s="18" t="str">
        <x:v>Classified</x:v>
      </x:c>
      <x:c r="K149" s="18" t="str">
        <x:v>Basic</x:v>
      </x:c>
      <x:c r="L149" s="17" t="str">
        <x:v>c153</x:v>
      </x:c>
    </x:row>
    <x:row r="150" ht="42" customHeight="1">
      <x:c r="A150" s="21" t="n">
        <x:v>2</x:v>
      </x:c>
      <x:c r="B150" s="14" t="str">
        <x:v>Cecil</x:v>
      </x:c>
      <x:c r="C150" s="23" t="str">
        <x:f>D150&amp;"/"&amp;E150</x:f>
        <x:v>1/1</x:v>
      </x:c>
      <x:c r="D150" s="21" t="n">
        <x:v>1</x:v>
      </x:c>
      <x:c r="E150" s="21" t="n">
        <x:v>1</x:v>
      </x:c>
      <x:c r="F150" s="23" t="str">
        <x:v>Legendary</x:v>
      </x:c>
      <x:c r="G150" s="23" t="str">
        <x:v>Tech</x:v>
      </x:c>
      <x:c r="H150" s="23" t="str">
        <x:v>Neutral</x:v>
      </x:c>
      <x:c r="I150" s="13" t="str">
        <x:v>Battlecry: Return a friendly minion to your hand</x:v>
      </x:c>
      <x:c r="J150" s="13" t="str">
        <x:v>Nothing personal. Just cleanup.</x:v>
      </x:c>
      <x:c r="K150" s="13" t="str">
        <x:v>Invincible</x:v>
      </x:c>
      <x:c r="L150" s="12" t="str">
        <x:v>c144</x:v>
      </x:c>
    </x:row>
    <x:row r="151" ht="42" customHeight="1">
      <x:c r="A151" s="22" t="n">
        <x:v>2</x:v>
      </x:c>
      <x:c r="B151" s="19" t="str">
        <x:v>Guts</x:v>
      </x:c>
      <x:c r="C151" s="24" t="str">
        <x:f>D151&amp;"/"&amp;E151</x:f>
        <x:v>1/1</x:v>
      </x:c>
      <x:c r="D151" s="22" t="n">
        <x:v>1</x:v>
      </x:c>
      <x:c r="E151" s="22" t="n">
        <x:v>1</x:v>
      </x:c>
      <x:c r="F151" s="24" t="str">
        <x:v>Rare</x:v>
      </x:c>
      <x:c r="G151" s="24" t="str">
        <x:v>Nature</x:v>
      </x:c>
      <x:c r="H151" s="24" t="str">
        <x:v>Neutral</x:v>
      </x:c>
      <x:c r="I151" s="18" t="str">
        <x:v>Passive: Gains +2/+1 for each 20 HP your Core is missing</x:v>
      </x:c>
      <x:c r="J151" s="18" t="str">
        <x:v>Struggle is the only answer.</x:v>
      </x:c>
      <x:c r="K151" s="18" t="str">
        <x:v>Berserk</x:v>
      </x:c>
      <x:c r="L151" s="17" t="str">
        <x:v>c185</x:v>
      </x:c>
    </x:row>
    <x:row r="152" ht="44" customHeight="1">
      <x:c r="A152" s="21" t="n">
        <x:v>2</x:v>
      </x:c>
      <x:c r="B152" s="14" t="str">
        <x:v>Kaku Kaioh</x:v>
      </x:c>
      <x:c r="C152" s="23" t="str">
        <x:f>D152&amp;"/"&amp;E152</x:f>
        <x:v>1/2</x:v>
      </x:c>
      <x:c r="D152" s="21" t="n">
        <x:v>1</x:v>
      </x:c>
      <x:c r="E152" s="21" t="n">
        <x:v>2</x:v>
      </x:c>
      <x:c r="F152" s="23" t="str">
        <x:v>Legendary</x:v>
      </x:c>
      <x:c r="G152" s="23" t="str">
        <x:v>Nature</x:v>
      </x:c>
      <x:c r="H152" s="23" t="str">
        <x:v>Good</x:v>
      </x:c>
      <x:c r="I152" s="13" t="str">
        <x:v>Passive: Evades 50% of attacks. Whenever he evades, the attacker takes damage equal to its own ATK</x:v>
      </x:c>
      <x:c r="J152" s="13" t="str">
        <x:v>162 years old</x:v>
      </x:c>
      <x:c r="K152" s="13" t="str">
        <x:v>Baki</x:v>
      </x:c>
      <x:c r="L152" s="12" t="str">
        <x:v>c145</x:v>
      </x:c>
    </x:row>
    <x:row r="153" ht="42" customHeight="1">
      <x:c r="A153" s="22" t="n">
        <x:v>2</x:v>
      </x:c>
      <x:c r="B153" s="19" t="str">
        <x:v>Kiritsugu Emiya</x:v>
      </x:c>
      <x:c r="C153" s="24" t="str">
        <x:f>D153&amp;"/"&amp;E153</x:f>
        <x:v>1/1</x:v>
      </x:c>
      <x:c r="D153" s="22" t="n">
        <x:v>1</x:v>
      </x:c>
      <x:c r="E153" s="22" t="n">
        <x:v>1</x:v>
      </x:c>
      <x:c r="F153" s="24" t="str">
        <x:v>Legendary</x:v>
      </x:c>
      <x:c r="G153" s="24" t="str">
        <x:v>Tech</x:v>
      </x:c>
      <x:c r="H153" s="24" t="str">
        <x:v>Neutral</x:v>
      </x:c>
      <x:c r="I153" s="18" t="str">
        <x:v>Battlecry: Freeze and silence an enemy minion</x:v>
      </x:c>
      <x:c r="J153" s="18" t="str">
        <x:v>He walks alone</x:v>
      </x:c>
      <x:c r="K153" s="18" t="str">
        <x:v>Fate</x:v>
      </x:c>
      <x:c r="L153" s="17" t="str">
        <x:v>c146</x:v>
      </x:c>
    </x:row>
    <x:row r="154" ht="44" customHeight="1">
      <x:c r="A154" s="21" t="n">
        <x:v>2</x:v>
      </x:c>
      <x:c r="B154" s="14" t="str">
        <x:v>Kureo Mado</x:v>
      </x:c>
      <x:c r="C154" s="23" t="str">
        <x:f>D154&amp;"/"&amp;E154</x:f>
        <x:v>1/1</x:v>
      </x:c>
      <x:c r="D154" s="21" t="n">
        <x:v>1</x:v>
      </x:c>
      <x:c r="E154" s="21" t="n">
        <x:v>1</x:v>
      </x:c>
      <x:c r="F154" s="23" t="str">
        <x:v>Legendary</x:v>
      </x:c>
      <x:c r="G154" s="23" t="str">
        <x:v>Tech</x:v>
      </x:c>
      <x:c r="H154" s="23" t="str">
        <x:v>Neutral</x:v>
      </x:c>
      <x:c r="I154" s="13" t="str">
        <x:v>Battlecry: Take an enemy minion's Ascension Relic and equip it to Kureo</x:v>
      </x:c>
      <x:c r="J154" s="13" t="str">
        <x:v>Mad hunter</x:v>
      </x:c>
      <x:c r="K154" s="13" t="str">
        <x:v>Tokyo Ghoul</x:v>
      </x:c>
      <x:c r="L154" s="12" t="str">
        <x:v>c147</x:v>
      </x:c>
    </x:row>
    <x:row r="155" ht="42" customHeight="1">
      <x:c r="A155" s="22" t="n">
        <x:v>2</x:v>
      </x:c>
      <x:c r="B155" s="19" t="str">
        <x:v>Kurogiri</x:v>
      </x:c>
      <x:c r="C155" s="24" t="str">
        <x:f>D155&amp;"/"&amp;E155</x:f>
        <x:v>1/1</x:v>
      </x:c>
      <x:c r="D155" s="22" t="n">
        <x:v>1</x:v>
      </x:c>
      <x:c r="E155" s="22" t="n">
        <x:v>1</x:v>
      </x:c>
      <x:c r="F155" s="24" t="str">
        <x:v>Epic</x:v>
      </x:c>
      <x:c r="G155" s="24" t="str">
        <x:v>Magic</x:v>
      </x:c>
      <x:c r="H155" s="24" t="str">
        <x:v>Evil</x:v>
      </x:c>
      <x:c r="I155" s="18" t="str">
        <x:v>Battlecry: All minions attack randomly next turn</x:v>
      </x:c>
      <x:c r="J155" s="18" t="str">
        <x:v>Every exit leads somewhere else.</x:v>
      </x:c>
      <x:c r="K155" s="18" t="str">
        <x:v>MHA</x:v>
      </x:c>
      <x:c r="L155" s="17" t="str">
        <x:v>c148</x:v>
      </x:c>
    </x:row>
    <x:row r="156" ht="42" customHeight="1">
      <x:c r="A156" s="21" t="n">
        <x:v>2</x:v>
      </x:c>
      <x:c r="B156" s="14" t="str">
        <x:v>Lu Bu</x:v>
      </x:c>
      <x:c r="C156" s="23" t="str">
        <x:f>D156&amp;"/"&amp;E156</x:f>
        <x:v>2/1</x:v>
      </x:c>
      <x:c r="D156" s="21" t="n">
        <x:v>2</x:v>
      </x:c>
      <x:c r="E156" s="21" t="n">
        <x:v>1</x:v>
      </x:c>
      <x:c r="F156" s="23" t="str">
        <x:v>Epic</x:v>
      </x:c>
      <x:c r="G156" s="23" t="str">
        <x:v>Nature</x:v>
      </x:c>
      <x:c r="H156" s="23" t="str">
        <x:v>Neutral</x:v>
      </x:c>
      <x:c r="I156" s="13" t="str">
        <x:v>Charge. Lu Bu can only attack the highest-ATK enemy if one exists</x:v>
      </x:c>
      <x:c r="J156" s="13" t="str">
        <x:v>Match any man, then pass him.</x:v>
      </x:c>
      <x:c r="K156" s="13" t="str">
        <x:v>Record of Ragnarok</x:v>
      </x:c>
      <x:c r="L156" s="12" t="str">
        <x:v>c149</x:v>
      </x:c>
    </x:row>
    <x:row r="157" ht="44" customHeight="1">
      <x:c r="A157" s="22" t="n">
        <x:v>2</x:v>
      </x:c>
      <x:c r="B157" s="19" t="str">
        <x:v>Meleoron</x:v>
      </x:c>
      <x:c r="C157" s="24" t="str">
        <x:f>D157&amp;"/"&amp;E157</x:f>
        <x:v>0/1</x:v>
      </x:c>
      <x:c r="D157" s="22" t="n">
        <x:v>0</x:v>
      </x:c>
      <x:c r="E157" s="22" t="n">
        <x:v>1</x:v>
      </x:c>
      <x:c r="F157" s="24" t="str">
        <x:v>Epic</x:v>
      </x:c>
      <x:c r="G157" s="24" t="str">
        <x:v>Magic</x:v>
      </x:c>
      <x:c r="H157" s="24" t="str">
        <x:v>Good</x:v>
      </x:c>
      <x:c r="I157" s="18" t="str">
        <x:v>Passive: Choose a friendly minion. It ignores Taunt and cannot be targeted as long as Meleoron is alive</x:v>
      </x:c>
      <x:c r="J157" s="18" t="str">
        <x:v>True invisibility</x:v>
      </x:c>
      <x:c r="K157" s="18" t="str">
        <x:v>HxH</x:v>
      </x:c>
      <x:c r="L157" s="17" t="str">
        <x:v>c150</x:v>
      </x:c>
    </x:row>
    <x:row r="158" ht="42" customHeight="1">
      <x:c r="A158" s="21" t="n">
        <x:v>2</x:v>
      </x:c>
      <x:c r="B158" s="14" t="str">
        <x:v>Mr. Oliva</x:v>
      </x:c>
      <x:c r="C158" s="23" t="str">
        <x:f>D158&amp;"/"&amp;E158</x:f>
        <x:v>3/2</x:v>
      </x:c>
      <x:c r="D158" s="21" t="n">
        <x:v>3</x:v>
      </x:c>
      <x:c r="E158" s="21" t="n">
        <x:v>2</x:v>
      </x:c>
      <x:c r="F158" s="23" t="str">
        <x:v>Epic</x:v>
      </x:c>
      <x:c r="G158" s="23" t="str">
        <x:v>Nature</x:v>
      </x:c>
      <x:c r="H158" s="23" t="str">
        <x:v>Neutral</x:v>
      </x:c>
      <x:c r="I158" s="13" t="str">
        <x:v>Passive: Can only be damaged by ATK of 2 and higher</x:v>
      </x:c>
      <x:c r="J158" s="13" t="str">
        <x:v>Unchained</x:v>
      </x:c>
      <x:c r="K158" s="13" t="str">
        <x:v>Baki</x:v>
      </x:c>
      <x:c r="L158" s="12" t="str">
        <x:v>c151</x:v>
      </x:c>
    </x:row>
    <x:row r="159" ht="42" customHeight="1">
      <x:c r="A159" s="22" t="n">
        <x:v>2</x:v>
      </x:c>
      <x:c r="B159" s="19" t="str">
        <x:v>Ouken</x:v>
      </x:c>
      <x:c r="C159" s="24" t="str">
        <x:f>D159&amp;"/"&amp;E159</x:f>
        <x:v>2/1</x:v>
      </x:c>
      <x:c r="D159" s="22" t="n">
        <x:v>2</x:v>
      </x:c>
      <x:c r="E159" s="22" t="n">
        <x:v>1</x:v>
      </x:c>
      <x:c r="F159" s="24" t="str">
        <x:v>Rare</x:v>
      </x:c>
      <x:c r="G159" s="24" t="str">
        <x:v>Magic</x:v>
      </x:c>
      <x:c r="H159" s="24" t="str">
        <x:v>Evil</x:v>
      </x:c>
      <x:c r="I159" s="18" t="str">
        <x:v>Reborn infinitely. Become Chained after each Reborn</x:v>
      </x:c>
      <x:c r="J159" s="18" t="str">
        <x:v>Immortality cost him everything</x:v>
      </x:c>
      <x:c r="K159" s="18" t="str">
        <x:v>Ranking of Kings</x:v>
      </x:c>
      <x:c r="L159" s="17" t="str">
        <x:v>c156</x:v>
      </x:c>
    </x:row>
    <x:row r="160" ht="44" customHeight="1">
      <x:c r="A160" s="21" t="n">
        <x:v>2</x:v>
      </x:c>
      <x:c r="B160" s="14" t="str">
        <x:v>Pandora's Actor</x:v>
      </x:c>
      <x:c r="C160" s="23" t="str">
        <x:f>D160&amp;"/"&amp;E160</x:f>
        <x:v>2/2</x:v>
      </x:c>
      <x:c r="D160" s="21" t="n">
        <x:v>2</x:v>
      </x:c>
      <x:c r="E160" s="21" t="n">
        <x:v>2</x:v>
      </x:c>
      <x:c r="F160" s="23" t="str">
        <x:v>Mythic</x:v>
      </x:c>
      <x:c r="G160" s="23" t="str">
        <x:v>Magic</x:v>
      </x:c>
      <x:c r="H160" s="23" t="str">
        <x:v>Evil</x:v>
      </x:c>
      <x:c r="I160" s="13" t="str">
        <x:v>Battlecry: Choose another minion. Become it. HP and ATK are not copied</x:v>
      </x:c>
      <x:c r="J160" s="13" t="str">
        <x:v>Every role is useful.</x:v>
      </x:c>
      <x:c r="K160" s="13" t="str">
        <x:v>Overlord</x:v>
      </x:c>
      <x:c r="L160" s="12" t="str">
        <x:v>c007</x:v>
      </x:c>
    </x:row>
    <x:row r="161" ht="42" customHeight="1">
      <x:c r="A161" s="22" t="n">
        <x:v>2</x:v>
      </x:c>
      <x:c r="B161" s="19" t="str">
        <x:v>Sandworm</x:v>
      </x:c>
      <x:c r="C161" s="24" t="str">
        <x:f>D161&amp;"/"&amp;E161</x:f>
        <x:v>1/3</x:v>
      </x:c>
      <x:c r="D161" s="22" t="n">
        <x:v>1</x:v>
      </x:c>
      <x:c r="E161" s="22" t="n">
        <x:v>3</x:v>
      </x:c>
      <x:c r="F161" s="24" t="str">
        <x:v>Rare</x:v>
      </x:c>
      <x:c r="G161" s="24" t="str">
        <x:v>Nature</x:v>
      </x:c>
      <x:c r="H161" s="24" t="str">
        <x:v>Neutral</x:v>
      </x:c>
      <x:c r="I161" s="18" t="str">
        <x:v>Taunt. Passive: Cannot be damaged by minions with 2 or less ATK</x:v>
      </x:c>
      <x:c r="J161" s="18" t="str">
        <x:v>The desert itself has teeth.</x:v>
      </x:c>
      <x:c r="K161" s="18" t="str">
        <x:v>Dune</x:v>
      </x:c>
      <x:c r="L161" s="17" t="str">
        <x:v>c006</x:v>
      </x:c>
    </x:row>
    <x:row r="162" ht="42" customHeight="1">
      <x:c r="A162" s="21" t="n">
        <x:v>2</x:v>
      </x:c>
      <x:c r="B162" s="14" t="str">
        <x:v>Stain</x:v>
      </x:c>
      <x:c r="C162" s="23" t="str">
        <x:f>D162&amp;"/"&amp;E162</x:f>
        <x:v>1/1</x:v>
      </x:c>
      <x:c r="D162" s="21" t="n">
        <x:v>1</x:v>
      </x:c>
      <x:c r="E162" s="21" t="n">
        <x:v>1</x:v>
      </x:c>
      <x:c r="F162" s="23" t="str">
        <x:v>Epic</x:v>
      </x:c>
      <x:c r="G162" s="23" t="str">
        <x:v>Magic</x:v>
      </x:c>
      <x:c r="H162" s="23" t="str">
        <x:v>Evil</x:v>
      </x:c>
      <x:c r="I162" s="13" t="str">
        <x:v>Battlecry: Destroy a damaged minion</x:v>
      </x:c>
      <x:c r="J162" s="13" t="str">
        <x:v>No heroes</x:v>
      </x:c>
      <x:c r="K162" s="13" t="str">
        <x:v>MHA</x:v>
      </x:c>
      <x:c r="L162" s="12" t="str">
        <x:v>c152</x:v>
      </x:c>
    </x:row>
    <x:row r="163" ht="44" customHeight="1">
      <x:c r="A163" s="22" t="n">
        <x:v>2</x:v>
      </x:c>
      <x:c r="B163" s="19" t="str">
        <x:v>Survivors</x:v>
      </x:c>
      <x:c r="C163" s="24" t="str">
        <x:f>D163&amp;"/"&amp;E163</x:f>
        <x:v>2/2</x:v>
      </x:c>
      <x:c r="D163" s="22" t="n">
        <x:v>2</x:v>
      </x:c>
      <x:c r="E163" s="22" t="n">
        <x:v>2</x:v>
      </x:c>
      <x:c r="F163" s="24" t="str">
        <x:v>Mythic</x:v>
      </x:c>
      <x:c r="G163" s="24" t="str">
        <x:v>Nature</x:v>
      </x:c>
      <x:c r="H163" s="24" t="str">
        <x:v>Good</x:v>
      </x:c>
      <x:c r="I163" s="18" t="str">
        <x:v>Divine Shield</x:v>
      </x:c>
      <x:c r="J163" s="18" t="str">
        <x:v>They weren't the strongest or the fastest. They were the ones who didn't stop</x:v>
      </x:c>
      <x:c r="K163" s="18" t="str">
        <x:v>L4d2</x:v>
      </x:c>
      <x:c r="L163" s="17" t="str">
        <x:v>c143</x:v>
      </x:c>
    </x:row>
    <x:row r="164" ht="42" customHeight="1">
      <x:c r="A164" s="21" t="n">
        <x:v>1</x:v>
      </x:c>
      <x:c r="B164" s="14" t="str">
        <x:v>An Order of Heavy Knights</x:v>
      </x:c>
      <x:c r="C164" s="23" t="str">
        <x:f>D164&amp;"/"&amp;E164</x:f>
        <x:v>1/1</x:v>
      </x:c>
      <x:c r="D164" s="21" t="n">
        <x:v>1</x:v>
      </x:c>
      <x:c r="E164" s="21" t="n">
        <x:v>1</x:v>
      </x:c>
      <x:c r="F164" s="23" t="str">
        <x:v>Rare</x:v>
      </x:c>
      <x:c r="G164" s="23" t="str">
        <x:v>Nature</x:v>
      </x:c>
      <x:c r="H164" s="23" t="str">
        <x:v>Neutral</x:v>
      </x:c>
      <x:c r="I164" s="13" t="str">
        <x:v>Passive: While you control a Taunt minion, this has +1/+1</x:v>
      </x:c>
      <x:c r="J164" s="13" t="str">
        <x:v>Honor. Duty</x:v>
      </x:c>
      <x:c r="K164" s="13" t="str">
        <x:v>Basic</x:v>
      </x:c>
      <x:c r="L164" s="12" t="str">
        <x:v>c169</x:v>
      </x:c>
    </x:row>
    <x:row r="165" ht="44" customHeight="1">
      <x:c r="A165" s="22" t="n">
        <x:v>1</x:v>
      </x:c>
      <x:c r="B165" s="19" t="str">
        <x:v>Angstrom Levy</x:v>
      </x:c>
      <x:c r="C165" s="24" t="str">
        <x:f>D165&amp;"/"&amp;E165</x:f>
        <x:v>1/1</x:v>
      </x:c>
      <x:c r="D165" s="22" t="n">
        <x:v>1</x:v>
      </x:c>
      <x:c r="E165" s="22" t="n">
        <x:v>1</x:v>
      </x:c>
      <x:c r="F165" s="24" t="str">
        <x:v>Epic</x:v>
      </x:c>
      <x:c r="G165" s="24" t="str">
        <x:v>Magic</x:v>
      </x:c>
      <x:c r="H165" s="24" t="str">
        <x:v>Neutral</x:v>
      </x:c>
      <x:c r="I165" s="18" t="str">
        <x:v>Battlecry: Choose another minion. Put it on the bottom of the deck and summon a random minion of the same cost into its slot</x:v>
      </x:c>
      <x:c r="J165" s="18" t="str">
        <x:v>Universe</x:v>
      </x:c>
      <x:c r="K165" s="18" t="str">
        <x:v>Invincible</x:v>
      </x:c>
      <x:c r="L165" s="17" t="str">
        <x:v>c163</x:v>
      </x:c>
    </x:row>
    <x:row r="166" ht="42" customHeight="1">
      <x:c r="A166" s="21" t="n">
        <x:v>1</x:v>
      </x:c>
      <x:c r="B166" s="14" t="str">
        <x:v>Davy Jones</x:v>
      </x:c>
      <x:c r="C166" s="23" t="str">
        <x:f>D166&amp;"/"&amp;E166</x:f>
        <x:v>1/1</x:v>
      </x:c>
      <x:c r="D166" s="21" t="n">
        <x:v>1</x:v>
      </x:c>
      <x:c r="E166" s="21" t="n">
        <x:v>1</x:v>
      </x:c>
      <x:c r="F166" s="23" t="str">
        <x:v>Rare</x:v>
      </x:c>
      <x:c r="G166" s="23" t="str">
        <x:v>Magic</x:v>
      </x:c>
      <x:c r="H166" s="23" t="str">
        <x:v>Evil</x:v>
      </x:c>
      <x:c r="I166" s="13" t="str">
        <x:v>Battlecry: Steal an Ascension Relic in your opponent's hand</x:v>
      </x:c>
      <x:c r="J166" s="13" t="str">
        <x:v>Captain of the drowned</x:v>
      </x:c>
      <x:c r="K166" s="13" t="str">
        <x:v>Pirates of the Caribbean</x:v>
      </x:c>
      <x:c r="L166" s="12" t="str">
        <x:v>c170</x:v>
      </x:c>
    </x:row>
    <x:row r="167" ht="42" customHeight="1">
      <x:c r="A167" s="22" t="n">
        <x:v>1</x:v>
      </x:c>
      <x:c r="B167" s="19" t="str">
        <x:v>Detective L</x:v>
      </x:c>
      <x:c r="C167" s="24" t="str">
        <x:f>D167&amp;"/"&amp;E167</x:f>
        <x:v>1/4</x:v>
      </x:c>
      <x:c r="D167" s="22" t="n">
        <x:v>1</x:v>
      </x:c>
      <x:c r="E167" s="22" t="n">
        <x:v>4</x:v>
      </x:c>
      <x:c r="F167" s="24" t="str">
        <x:v>Legendary</x:v>
      </x:c>
      <x:c r="G167" s="24" t="str">
        <x:v>Nature</x:v>
      </x:c>
      <x:c r="H167" s="24" t="str">
        <x:v>Good</x:v>
      </x:c>
      <x:c r="I167" s="18" t="str">
        <x:v>Passive: Your draw now shows 2 cards, pick one</x:v>
      </x:c>
      <x:c r="J167" s="18" t="str">
        <x:v>Justice works in probabilities.</x:v>
      </x:c>
      <x:c r="K167" s="18" t="str">
        <x:v>Death Note</x:v>
      </x:c>
      <x:c r="L167" s="17" t="str">
        <x:v>c003</x:v>
      </x:c>
    </x:row>
    <x:row r="168" ht="42" customHeight="1">
      <x:c r="A168" s="21" t="n">
        <x:v>1</x:v>
      </x:c>
      <x:c r="B168" s="14" t="str">
        <x:v>Domovoy</x:v>
      </x:c>
      <x:c r="C168" s="23" t="str">
        <x:f>D168&amp;"/"&amp;E168</x:f>
        <x:v>1/1</x:v>
      </x:c>
      <x:c r="D168" s="21" t="n">
        <x:v>1</x:v>
      </x:c>
      <x:c r="E168" s="21" t="n">
        <x:v>1</x:v>
      </x:c>
      <x:c r="F168" s="23" t="str">
        <x:v>Legendary</x:v>
      </x:c>
      <x:c r="G168" s="23" t="str">
        <x:v>Magic</x:v>
      </x:c>
      <x:c r="H168" s="23" t="str">
        <x:v>Good</x:v>
      </x:c>
      <x:c r="I168" s="13" t="str">
        <x:v>Battlecry: Draw an Ascension Relic</x:v>
      </x:c>
      <x:c r="J168" s="13" t="str">
        <x:v>The house spirit</x:v>
      </x:c>
      <x:c r="K168" s="13" t="str">
        <x:v>Myth</x:v>
      </x:c>
      <x:c r="L168" s="12" t="str">
        <x:v>c160</x:v>
      </x:c>
    </x:row>
    <x:row r="169" ht="42" customHeight="1">
      <x:c r="A169" s="22" t="n">
        <x:v>1</x:v>
      </x:c>
      <x:c r="B169" s="19" t="str">
        <x:v>Dr. Heinz Doofenshmirtz</x:v>
      </x:c>
      <x:c r="C169" s="24" t="str">
        <x:f>D169&amp;"/"&amp;E169</x:f>
        <x:v>1/2</x:v>
      </x:c>
      <x:c r="D169" s="22" t="n">
        <x:v>1</x:v>
      </x:c>
      <x:c r="E169" s="22" t="n">
        <x:v>2</x:v>
      </x:c>
      <x:c r="F169" s="24" t="str">
        <x:v>Epic</x:v>
      </x:c>
      <x:c r="G169" s="24" t="str">
        <x:v>Tech</x:v>
      </x:c>
      <x:c r="H169" s="24" t="str">
        <x:v>Neutral</x:v>
      </x:c>
      <x:c r="I169" s="18" t="str">
        <x:v>Ongoing: 50% to die and 50% to gain +2/+1</x:v>
      </x:c>
      <x:c r="J169" s="18" t="str">
        <x:v>Your doom will be unnecessarily complicated</x:v>
      </x:c>
      <x:c r="K169" s="18" t="str">
        <x:v>Phineas and Ferb universe</x:v>
      </x:c>
      <x:c r="L169" s="17" t="str">
        <x:v>c164</x:v>
      </x:c>
    </x:row>
    <x:row r="170" ht="44" customHeight="1">
      <x:c r="A170" s="21" t="n">
        <x:v>1</x:v>
      </x:c>
      <x:c r="B170" s="14" t="str">
        <x:v>Flowey</x:v>
      </x:c>
      <x:c r="C170" s="23" t="str">
        <x:f>D170&amp;"/"&amp;E170</x:f>
        <x:v>0/1</x:v>
      </x:c>
      <x:c r="D170" s="21" t="n">
        <x:v>0</x:v>
      </x:c>
      <x:c r="E170" s="21" t="n">
        <x:v>1</x:v>
      </x:c>
      <x:c r="F170" s="23" t="str">
        <x:v>Legendary</x:v>
      </x:c>
      <x:c r="G170" s="23" t="str">
        <x:v>Magic</x:v>
      </x:c>
      <x:c r="H170" s="23" t="str">
        <x:v>Evil</x:v>
      </x:c>
      <x:c r="I170" s="13" t="str">
        <x:v>Battlecry: Save your core's current HP. Deathrattle: Set your core to the saved HP</x:v>
      </x:c>
      <x:c r="J170" s="13" t="str">
        <x:v>Friendliness is a face you put on.</x:v>
      </x:c>
      <x:c r="K170" s="13" t="str">
        <x:v>Undertale</x:v>
      </x:c>
      <x:c r="L170" s="12" t="str">
        <x:v>c161</x:v>
      </x:c>
    </x:row>
    <x:row r="171" ht="42" customHeight="1">
      <x:c r="A171" s="22" t="n">
        <x:v>1</x:v>
      </x:c>
      <x:c r="B171" s="19" t="str">
        <x:v>Goblins</x:v>
      </x:c>
      <x:c r="C171" s="24" t="str">
        <x:f>D171&amp;"/"&amp;E171</x:f>
        <x:v>2/1</x:v>
      </x:c>
      <x:c r="D171" s="22" t="n">
        <x:v>2</x:v>
      </x:c>
      <x:c r="E171" s="22" t="n">
        <x:v>1</x:v>
      </x:c>
      <x:c r="F171" s="24" t="str">
        <x:v>Rare</x:v>
      </x:c>
      <x:c r="G171" s="24" t="str">
        <x:v>Nature</x:v>
      </x:c>
      <x:c r="H171" s="24" t="str">
        <x:v>Evil</x:v>
      </x:c>
      <x:c r="I171" s="18" t="str">
        <x:v>Deathrattle: Deal 1 damage to a random enemy minion</x:v>
      </x:c>
      <x:c r="J171" s="18" t="str">
        <x:v>Many, loud, briefly in the way.</x:v>
      </x:c>
      <x:c r="K171" s="18" t="str">
        <x:v>Myth</x:v>
      </x:c>
      <x:c r="L171" s="17" t="str">
        <x:v>c171</x:v>
      </x:c>
    </x:row>
    <x:row r="172" ht="42" customHeight="1">
      <x:c r="A172" s="21" t="n">
        <x:v>1</x:v>
      </x:c>
      <x:c r="B172" s="14" t="str">
        <x:v>Indiana Jones</x:v>
      </x:c>
      <x:c r="C172" s="23" t="str">
        <x:f>D172&amp;"/"&amp;E172</x:f>
        <x:v>1/1</x:v>
      </x:c>
      <x:c r="D172" s="21" t="n">
        <x:v>1</x:v>
      </x:c>
      <x:c r="E172" s="21" t="n">
        <x:v>1</x:v>
      </x:c>
      <x:c r="F172" s="23" t="str">
        <x:v>Mythic</x:v>
      </x:c>
      <x:c r="G172" s="23" t="str">
        <x:v>Nature</x:v>
      </x:c>
      <x:c r="H172" s="23" t="str">
        <x:v>Good</x:v>
      </x:c>
      <x:c r="I172" s="13" t="str">
        <x:v>Battlecry: Discover 1 of 3 Ascension Relics. Add it to your hand</x:v>
      </x:c>
      <x:c r="J172" s="13" t="str">
        <x:v>Mine</x:v>
      </x:c>
      <x:c r="K172" s="13" t="str">
        <x:v>Indiana Jones</x:v>
      </x:c>
      <x:c r="L172" s="12" t="str">
        <x:v>c159</x:v>
      </x:c>
    </x:row>
    <x:row r="173" ht="42" customHeight="1">
      <x:c r="A173" s="22" t="n">
        <x:v>1</x:v>
      </x:c>
      <x:c r="B173" s="19" t="str">
        <x:v>John Wick</x:v>
      </x:c>
      <x:c r="C173" s="24" t="str">
        <x:f>D173&amp;"/"&amp;E173</x:f>
        <x:v>1/1</x:v>
      </x:c>
      <x:c r="D173" s="22" t="n">
        <x:v>1</x:v>
      </x:c>
      <x:c r="E173" s="22" t="n">
        <x:v>1</x:v>
      </x:c>
      <x:c r="F173" s="24" t="str">
        <x:v>Rare</x:v>
      </x:c>
      <x:c r="G173" s="24" t="str">
        <x:v>Nature</x:v>
      </x:c>
      <x:c r="H173" s="24" t="str">
        <x:v>Neutral</x:v>
      </x:c>
      <x:c r="I173" s="18" t="str">
        <x:v>Passive: Whenever a friendly minion dies, gain +1/+1</x:v>
      </x:c>
      <x:c r="J173" s="18" t="str">
        <x:v>A dog was all he had left.</x:v>
      </x:c>
      <x:c r="K173" s="18" t="str">
        <x:v>Myth</x:v>
      </x:c>
      <x:c r="L173" s="17" t="str">
        <x:v>c001</x:v>
      </x:c>
    </x:row>
    <x:row r="174" ht="42" customHeight="1">
      <x:c r="A174" s="21" t="n">
        <x:v>1</x:v>
      </x:c>
      <x:c r="B174" s="14" t="str">
        <x:v>Joker</x:v>
      </x:c>
      <x:c r="C174" s="23" t="str">
        <x:f>D174&amp;"/"&amp;E174</x:f>
        <x:v>1/1</x:v>
      </x:c>
      <x:c r="D174" s="21" t="n">
        <x:v>1</x:v>
      </x:c>
      <x:c r="E174" s="21" t="n">
        <x:v>1</x:v>
      </x:c>
      <x:c r="F174" s="23" t="str">
        <x:v>Mythic</x:v>
      </x:c>
      <x:c r="G174" s="23" t="str">
        <x:v>Nature</x:v>
      </x:c>
      <x:c r="H174" s="23" t="str">
        <x:v>Evil</x:v>
      </x:c>
      <x:c r="I174" s="13" t="str">
        <x:v>Battlecry: Put a copy of a minion in your hand</x:v>
      </x:c>
      <x:c r="J174" s="13" t="str">
        <x:v>The punchline was already loaded.</x:v>
      </x:c>
      <x:c r="K174" s="13" t="str">
        <x:v>DCU</x:v>
      </x:c>
      <x:c r="L174" s="12" t="str">
        <x:v>c002</x:v>
      </x:c>
    </x:row>
    <x:row r="175" ht="44" customHeight="1">
      <x:c r="A175" s="22" t="n">
        <x:v>1</x:v>
      </x:c>
      <x:c r="B175" s="19" t="str">
        <x:v>Kagaya Ubuyashiki</x:v>
      </x:c>
      <x:c r="C175" s="24" t="str">
        <x:f>D175&amp;"/"&amp;E175</x:f>
        <x:v>1/1</x:v>
      </x:c>
      <x:c r="D175" s="22" t="n">
        <x:v>1</x:v>
      </x:c>
      <x:c r="E175" s="22" t="n">
        <x:v>1</x:v>
      </x:c>
      <x:c r="F175" s="24" t="str">
        <x:v>Legendary</x:v>
      </x:c>
      <x:c r="G175" s="24" t="str">
        <x:v>Nature</x:v>
      </x:c>
      <x:c r="H175" s="24" t="str">
        <x:v>Good</x:v>
      </x:c>
      <x:c r="I175" s="18" t="str">
        <x:v>Battlecry: Discover a random Taunt, Divine Shield, and Passive minion in the deck. Draw one</x:v>
      </x:c>
      <x:c r="J175" s="18" t="str">
        <x:v>Leadership</x:v>
      </x:c>
      <x:c r="K175" s="18" t="str">
        <x:v>Demon Slayer</x:v>
      </x:c>
      <x:c r="L175" s="17" t="str">
        <x:v>c162</x:v>
      </x:c>
    </x:row>
    <x:row r="176" ht="42" customHeight="1">
      <x:c r="A176" s="21" t="n">
        <x:v>1</x:v>
      </x:c>
      <x:c r="B176" s="14" t="str">
        <x:v>Mr. Poopybutthole</x:v>
      </x:c>
      <x:c r="C176" s="23" t="str">
        <x:f>D176&amp;"/"&amp;E176</x:f>
        <x:v>1/1</x:v>
      </x:c>
      <x:c r="D176" s="21" t="n">
        <x:v>1</x:v>
      </x:c>
      <x:c r="E176" s="21" t="n">
        <x:v>1</x:v>
      </x:c>
      <x:c r="F176" s="23" t="str">
        <x:v>Rare</x:v>
      </x:c>
      <x:c r="G176" s="23" t="str">
        <x:v>Nature</x:v>
      </x:c>
      <x:c r="H176" s="23" t="str">
        <x:v>Neutral</x:v>
      </x:c>
      <x:c r="I176" s="13" t="str">
        <x:v>Reborn</x:v>
      </x:c>
      <x:c r="J176" s="13" t="str">
        <x:v>He was there the whole time</x:v>
      </x:c>
      <x:c r="K176" s="13" t="str">
        <x:v>Rick and Morty</x:v>
      </x:c>
      <x:c r="L176" s="12" t="str">
        <x:v>c172</x:v>
      </x:c>
    </x:row>
    <x:row r="177" ht="44" customHeight="1">
      <x:c r="A177" s="22" t="n">
        <x:v>1</x:v>
      </x:c>
      <x:c r="B177" s="19" t="str">
        <x:v>Mugen &amp; Jin</x:v>
      </x:c>
      <x:c r="C177" s="24" t="str">
        <x:f>D177&amp;"/"&amp;E177</x:f>
        <x:v>1/2</x:v>
      </x:c>
      <x:c r="D177" s="22" t="n">
        <x:v>1</x:v>
      </x:c>
      <x:c r="E177" s="22" t="n">
        <x:v>2</x:v>
      </x:c>
      <x:c r="F177" s="24" t="str">
        <x:v>Epic</x:v>
      </x:c>
      <x:c r="G177" s="24" t="str">
        <x:v>Nature</x:v>
      </x:c>
      <x:c r="H177" s="24" t="str">
        <x:v>Neutral</x:v>
      </x:c>
      <x:c r="I177" s="18" t="str">
        <x:v>Battlecry: Gain +1 ATK if you have another friendly minion on the board</x:v>
      </x:c>
      <x:c r="J177" s="18" t="str">
        <x:v>Two blades, one road, no agreement.</x:v>
      </x:c>
      <x:c r="K177" s="18" t="str">
        <x:v>Samurai Champloo</x:v>
      </x:c>
      <x:c r="L177" s="17" t="str">
        <x:v>c165</x:v>
      </x:c>
    </x:row>
    <x:row r="178" ht="42" customHeight="1">
      <x:c r="A178" s="21" t="n">
        <x:v>1</x:v>
      </x:c>
      <x:c r="B178" s="14" t="str">
        <x:v>Nezu</x:v>
      </x:c>
      <x:c r="C178" s="23" t="str">
        <x:f>D178&amp;"/"&amp;E178</x:f>
        <x:v>1/1</x:v>
      </x:c>
      <x:c r="D178" s="21" t="n">
        <x:v>1</x:v>
      </x:c>
      <x:c r="E178" s="21" t="n">
        <x:v>1</x:v>
      </x:c>
      <x:c r="F178" s="23" t="str">
        <x:v>Rare</x:v>
      </x:c>
      <x:c r="G178" s="23" t="str">
        <x:v>Nature</x:v>
      </x:c>
      <x:c r="H178" s="23" t="str">
        <x:v>Good</x:v>
      </x:c>
      <x:c r="I178" s="13" t="str">
        <x:v>Battlecry: Draw 1 card</x:v>
      </x:c>
      <x:c r="J178" s="13" t="str">
        <x:v>The smartest thing here is a mouse.</x:v>
      </x:c>
      <x:c r="K178" s="13" t="str">
        <x:v>MHA</x:v>
      </x:c>
      <x:c r="L178" s="12" t="str">
        <x:v>c173</x:v>
      </x:c>
    </x:row>
    <x:row r="179" ht="44" customHeight="1">
      <x:c r="A179" s="22" t="n">
        <x:v>1</x:v>
      </x:c>
      <x:c r="B179" s="19" t="str">
        <x:v>Shibukawa</x:v>
      </x:c>
      <x:c r="C179" s="24" t="str">
        <x:f>D179&amp;"/"&amp;E179</x:f>
        <x:v>1/1</x:v>
      </x:c>
      <x:c r="D179" s="22" t="n">
        <x:v>1</x:v>
      </x:c>
      <x:c r="E179" s="22" t="n">
        <x:v>1</x:v>
      </x:c>
      <x:c r="F179" s="24" t="str">
        <x:v>Rare</x:v>
      </x:c>
      <x:c r="G179" s="24" t="str">
        <x:v>Nature</x:v>
      </x:c>
      <x:c r="H179" s="24" t="str">
        <x:v>Neutral</x:v>
      </x:c>
      <x:c r="I179" s="18" t="str">
        <x:v>Divine Shield. Passive: Do 2x damage when defending against an attack</x:v>
      </x:c>
      <x:c r="J179" s="18" t="str">
        <x:v>Strength is the easiest thing to redirect.</x:v>
      </x:c>
      <x:c r="K179" s="18" t="str">
        <x:v>Baki</x:v>
      </x:c>
      <x:c r="L179" s="17" t="str">
        <x:v>c174</x:v>
      </x:c>
    </x:row>
    <x:row r="180" ht="42" customHeight="1">
      <x:c r="A180" s="21" t="n">
        <x:v>1</x:v>
      </x:c>
      <x:c r="B180" s="14" t="str">
        <x:v>Sir Nighteye</x:v>
      </x:c>
      <x:c r="C180" s="23" t="str">
        <x:f>D180&amp;"/"&amp;E180</x:f>
        <x:v>1/1</x:v>
      </x:c>
      <x:c r="D180" s="21" t="n">
        <x:v>1</x:v>
      </x:c>
      <x:c r="E180" s="21" t="n">
        <x:v>1</x:v>
      </x:c>
      <x:c r="F180" s="23" t="str">
        <x:v>Epic</x:v>
      </x:c>
      <x:c r="G180" s="23" t="str">
        <x:v>Magic</x:v>
      </x:c>
      <x:c r="H180" s="23" t="str">
        <x:v>Good</x:v>
      </x:c>
      <x:c r="I180" s="13" t="str">
        <x:v>Passive: See the card on top of the deck</x:v>
      </x:c>
      <x:c r="J180" s="13" t="str">
        <x:v>He has already watched this end.</x:v>
      </x:c>
      <x:c r="K180" s="13" t="str">
        <x:v>MHA</x:v>
      </x:c>
      <x:c r="L180" s="12" t="str">
        <x:v>c166</x:v>
      </x:c>
    </x:row>
    <x:row r="181" ht="44" customHeight="1">
      <x:c r="A181" s="22" t="n">
        <x:v>1</x:v>
      </x:c>
      <x:c r="B181" s="19" t="str">
        <x:v>V</x:v>
      </x:c>
      <x:c r="C181" s="24" t="str">
        <x:f>D181&amp;"/"&amp;E181</x:f>
        <x:v>1/1</x:v>
      </x:c>
      <x:c r="D181" s="22" t="n">
        <x:v>1</x:v>
      </x:c>
      <x:c r="E181" s="22" t="n">
        <x:v>1</x:v>
      </x:c>
      <x:c r="F181" s="24" t="str">
        <x:v>Rare</x:v>
      </x:c>
      <x:c r="G181" s="24" t="str">
        <x:v>Nature</x:v>
      </x:c>
      <x:c r="H181" s="24" t="str">
        <x:v>Neutral</x:v>
      </x:c>
      <x:c r="I181" s="18" t="str">
        <x:v>Deathrattle: Destroy a random Evil minion, no matter friendly or not, and deal 4 damage to your own Core</x:v>
      </x:c>
      <x:c r="J181" s="18" t="str">
        <x:v>V for Vendetta</x:v>
      </x:c>
      <x:c r="K181" s="18" t="str">
        <x:v>V for Vendetta</x:v>
      </x:c>
      <x:c r="L181" s="17" t="str">
        <x:v>c175</x:v>
      </x:c>
    </x:row>
    <x:row r="182" ht="42" customHeight="1">
      <x:c r="A182" s="21" t="n">
        <x:v>1</x:v>
      </x:c>
      <x:c r="B182" s="14" t="str">
        <x:v>Vegapunk</x:v>
      </x:c>
      <x:c r="C182" s="23" t="str">
        <x:f>D182&amp;"/"&amp;E182</x:f>
        <x:v>1/1</x:v>
      </x:c>
      <x:c r="D182" s="21" t="n">
        <x:v>1</x:v>
      </x:c>
      <x:c r="E182" s="21" t="n">
        <x:v>1</x:v>
      </x:c>
      <x:c r="F182" s="23" t="str">
        <x:v>Epic</x:v>
      </x:c>
      <x:c r="G182" s="23" t="str">
        <x:v>Tech</x:v>
      </x:c>
      <x:c r="H182" s="23" t="str">
        <x:v>Neutral</x:v>
      </x:c>
      <x:c r="I182" s="13" t="str">
        <x:v>Battlecry: Discover 3 Tech cards in the deck, choose and draw one</x:v>
      </x:c>
      <x:c r="J182" s="13" t="str">
        <x:v>His brain never stopped growing</x:v>
      </x:c>
      <x:c r="K182" s="13" t="str">
        <x:v>One Piece</x:v>
      </x:c>
      <x:c r="L182" s="12" t="str">
        <x:v>c167</x:v>
      </x:c>
    </x:row>
    <x:row r="183" ht="44" customHeight="1">
      <x:c r="A183" s="22" t="n">
        <x:v>1</x:v>
      </x:c>
      <x:c r="B183" s="19" t="str">
        <x:v>Walter White</x:v>
      </x:c>
      <x:c r="C183" s="24" t="str">
        <x:f>D183&amp;"/"&amp;E183</x:f>
        <x:v>1/1</x:v>
      </x:c>
      <x:c r="D183" s="22" t="n">
        <x:v>1</x:v>
      </x:c>
      <x:c r="E183" s="22" t="n">
        <x:v>1</x:v>
      </x:c>
      <x:c r="F183" s="24" t="str">
        <x:v>Epic</x:v>
      </x:c>
      <x:c r="G183" s="24" t="str">
        <x:v>Tech</x:v>
      </x:c>
      <x:c r="H183" s="24" t="str">
        <x:v>Neutral</x:v>
      </x:c>
      <x:c r="I183" s="18" t="str">
        <x:v>Battlecry: Choose another friendly Neutral minion. Double its ATK, but set its HP to 1</x:v>
      </x:c>
      <x:c r="J183" s="18" t="str">
        <x:v>Say. My. Name</x:v>
      </x:c>
      <x:c r="K183" s="18" t="str">
        <x:v>Breaking Bad</x:v>
      </x:c>
      <x:c r="L183" s="17" t="str">
        <x:v>c168</x:v>
      </x:c>
    </x:row>
  </x:sheetData>
  <x:conditionalFormatting sqref="F2:F183">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3">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3">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926dd1d12fe64f49"/>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03a016a13e3f48d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75 health. Reduce the opposing core to zero to win.</x:v>
      </x:c>
    </x:row>
    <x:row r="4" ht="67" customHeight="1">
      <x:c r="A4" s="9" t="str">
        <x:v>Each player draws from their own shuffled thirty-card deck and opens with 3 cards. In solo and campaign play, Player One may replace any number once during the mulligan. In hotseat, both players may replace cards once, privately and in order. The second player also receives The Coin.</x:v>
      </x:c>
    </x:row>
    <x:row r="5" ht="67" customHeight="1">
      <x:c r="A5" s="9" t="str">
        <x:v>Hero Powers are selected from the title-screen Hero Powers menu. Each first clear of chapters 1–10 unlocks the next player power permanently, in the order shown in that menu. Campaign bosses use fixed powers. Free-play opponents receive one random power from all ten. A selected Hero Power costs 2 mana and can be used once during its controller's turn.</x:v>
      </x:c>
    </x:row>
    <x:row r="6" ht="34" customHeight="1">
      <x:c r="A6" s="9" t="str">
        <x:v>At the start of a turn, draw one card. Mana starts at 1, refills each turn, and increases by one each turn up to 10.</x:v>
      </x:c>
    </x:row>
    <x:row r="7" ht="34" customHeight="1">
      <x:c r="A7" s="9" t="str">
        <x:v>Your hand holds at most 10 cards. A card drawn into a full hand burns and is discarded.</x:v>
      </x:c>
    </x:row>
    <x:row r="8" ht="34" customHeight="1">
      <x:c r="A8" s="9" t="str">
        <x:v>Play a hand card into one of five board slots by paying its cost. Effects that summon minions also need an open slot.</x:v>
      </x:c>
    </x:row>
    <x:row r="9" ht="50" customHeight="1">
      <x:c r="A9" s="9" t="str">
        <x:v>A minion is asleep for the turn it enters play and normally waits until its owner's next turn before attacking. A Chained minion is unavailable for its first two owner turns and cannot be targeted by attacks or effects while chained.</x:v>
      </x:c>
    </x:row>
    <x:row r="10" ht="34" customHeight="1">
      <x:c r="A10" s="9" t="str">
        <x:v>A minion can attack once per turn. A minion with 0 ATK can still attack, but deals no damage.</x:v>
      </x:c>
    </x:row>
    <x:row r="11" ht="34" customHeight="1">
      <x:c r="A11" s="9" t="str">
        <x:v>Combat is simultaneous: attacker and defender deal damage to each other, even when the attack kills the defender.</x:v>
      </x:c>
    </x:row>
    <x:row r="12" ht="50" customHeight="1">
      <x:c r="A12" s="9" t="str">
        <x:v>Taunt must be dealt with before attacks can reach the opposing core, unless an effect or relic explicitly bypasses that defence.</x:v>
      </x:c>
    </x:row>
    <x:row r="13" ht="50" customHeight="1">
      <x:c r="A13" s="9" t="str">
        <x:v>Silence strips printed text, keywords, and stat buffs at once. A minion pumped above its printed stats falls back to them; a minion pushed below them stays there. A silenced minion's Divine Shield blocks nothing while the silence holds.</x:v>
      </x:c>
    </x:row>
    <x:row r="14" ht="50" customHeight="1">
      <x:c r="A14" s="9" t="str">
        <x:v>When a player's own deck and bottom-deck cards are empty, drawing causes escalating fatigue damage: 1, then 2, then 3, and so on.</x:v>
      </x:c>
    </x:row>
    <x:row r="15" ht="50" customHeight="1">
      <x:c r="A15" s="9" t="str">
        <x:v>Nothing damages a core automatically just because a turn starts; core damage comes from a minion attacking it or from an effect that explicitly says it damages a core.</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COUNTIF(Cards!F2:F183,A2)</x:f>
        <x:v>19</x:v>
      </x:c>
      <x:c r="C2" s="2"/>
      <x:c r="D2" s="8" t="n">
        <x:v>10</x:v>
      </x:c>
      <x:c r="E2" s="8" t="n">
        <x:f>COUNTIF(Cards!A2:A183,D2)+COUNTIF(Relics!A2:A35,D2)</x:f>
        <x:v>11</x:v>
      </x:c>
    </x:row>
    <x:row r="3" ht="28" customHeight="1">
      <x:c r="A3" s="2" t="str">
        <x:v>Legendary</x:v>
      </x:c>
      <x:c r="B3" s="8" t="n">
        <x:f>COUNTIF(Cards!F2:F183,A3)</x:f>
        <x:v>44</x:v>
      </x:c>
      <x:c r="C3" s="2"/>
      <x:c r="D3" s="8" t="n">
        <x:v>9</x:v>
      </x:c>
      <x:c r="E3" s="8" t="n">
        <x:f>COUNTIF(Cards!A2:A183,D3)+COUNTIF(Relics!A2:A35,D3)</x:f>
        <x:v>12</x:v>
      </x:c>
    </x:row>
    <x:row r="4" ht="28" customHeight="1">
      <x:c r="A4" s="2" t="str">
        <x:v>Epic</x:v>
      </x:c>
      <x:c r="B4" s="8" t="n">
        <x:f>COUNTIF(Cards!F2:F183,A4)</x:f>
        <x:v>60</x:v>
      </x:c>
      <x:c r="C4" s="2"/>
      <x:c r="D4" s="8" t="n">
        <x:v>8</x:v>
      </x:c>
      <x:c r="E4" s="8" t="n">
        <x:f>COUNTIF(Cards!A2:A183,D4)+COUNTIF(Relics!A2:A35,D4)</x:f>
        <x:v>18</x:v>
      </x:c>
    </x:row>
    <x:row r="5" ht="28" customHeight="1">
      <x:c r="A5" s="2" t="str">
        <x:v>Rare</x:v>
      </x:c>
      <x:c r="B5" s="8" t="n">
        <x:f>COUNTIF(Cards!F2:F183,A5)</x:f>
        <x:v>59</x:v>
      </x:c>
      <x:c r="C5" s="2"/>
      <x:c r="D5" s="8" t="n">
        <x:v>7</x:v>
      </x:c>
      <x:c r="E5" s="8" t="n">
        <x:f>COUNTIF(Cards!A2:A183,D5)+COUNTIF(Relics!A2:A35,D5)</x:f>
        <x:v>18</x:v>
      </x:c>
    </x:row>
    <x:row r="6" ht="28" customHeight="1">
      <x:c r="A6" s="2" t="str">
        <x:v>Total cards</x:v>
      </x:c>
      <x:c r="B6" s="8" t="n">
        <x:f>SUM(B2:B5)</x:f>
        <x:v>182</x:v>
      </x:c>
      <x:c r="C6" s="2"/>
      <x:c r="D6" s="8" t="n">
        <x:v>6</x:v>
      </x:c>
      <x:c r="E6" s="8" t="n">
        <x:f>COUNTIF(Cards!A2:A183,D6)+COUNTIF(Relics!A2:A35,D6)</x:f>
        <x:v>21</x:v>
      </x:c>
    </x:row>
    <x:row r="7" ht="28" customHeight="1">
      <x:c r="A7" s="2"/>
      <x:c r="B7" s="8"/>
      <x:c r="C7" s="2"/>
      <x:c r="D7" s="8" t="n">
        <x:v>5</x:v>
      </x:c>
      <x:c r="E7" s="8" t="n">
        <x:f>COUNTIF(Cards!A2:A183,D7)+COUNTIF(Relics!A2:A35,D7)</x:f>
        <x:v>21</x:v>
      </x:c>
    </x:row>
    <x:row r="8" ht="28" customHeight="1">
      <x:c r="A8" s="7" t="str">
        <x:v>By Camp</x:v>
      </x:c>
      <x:c r="B8" s="8"/>
      <x:c r="C8" s="2"/>
      <x:c r="D8" s="8" t="n">
        <x:v>4</x:v>
      </x:c>
      <x:c r="E8" s="8" t="n">
        <x:f>COUNTIF(Cards!A2:A183,D8)+COUNTIF(Relics!A2:A35,D8)</x:f>
        <x:v>32</x:v>
      </x:c>
    </x:row>
    <x:row r="9" ht="28" customHeight="1">
      <x:c r="A9" s="2" t="str">
        <x:v>Magic</x:v>
      </x:c>
      <x:c r="B9" s="8" t="n">
        <x:f>COUNTIF(Cards!G2:G183,A9)</x:f>
        <x:v>89</x:v>
      </x:c>
      <x:c r="C9" s="2"/>
      <x:c r="D9" s="8" t="n">
        <x:v>3</x:v>
      </x:c>
      <x:c r="E9" s="8" t="n">
        <x:f>COUNTIF(Cards!A2:A183,D9)+COUNTIF(Relics!A2:A35,D9)</x:f>
        <x:v>27</x:v>
      </x:c>
    </x:row>
    <x:row r="10" ht="28" customHeight="1">
      <x:c r="A10" s="2" t="str">
        <x:v>Tech</x:v>
      </x:c>
      <x:c r="B10" s="8" t="n">
        <x:f>COUNTIF(Cards!G2:G183,A10)</x:f>
        <x:v>34</x:v>
      </x:c>
      <x:c r="C10" s="2"/>
      <x:c r="D10" s="8" t="n">
        <x:v>2</x:v>
      </x:c>
      <x:c r="E10" s="8" t="n">
        <x:f>COUNTIF(Cards!A2:A183,D10)+COUNTIF(Relics!A2:A35,D10)</x:f>
        <x:v>26</x:v>
      </x:c>
    </x:row>
    <x:row r="11" ht="28" customHeight="1">
      <x:c r="A11" s="2" t="str">
        <x:v>Nature</x:v>
      </x:c>
      <x:c r="B11" s="8" t="n">
        <x:f>COUNTIF(Cards!G2:G183,A11)</x:f>
        <x:v>57</x:v>
      </x:c>
      <x:c r="C11" s="2"/>
      <x:c r="D11" s="8" t="n">
        <x:v>1</x:v>
      </x:c>
      <x:c r="E11" s="8" t="n">
        <x:f>COUNTIF(Cards!A2:A183,D11)+COUNTIF(Relics!A2:A35,D11)</x:f>
        <x:v>30</x:v>
      </x:c>
    </x:row>
    <x:row r="12" ht="28" customHeight="1">
      <x:c r="A12" s="2" t="str">
        <x:v>ALL</x:v>
      </x:c>
      <x:c r="B12" s="8" t="n">
        <x:f>COUNTIF(Cards!G2:G183,A12)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COUNTIF(Cards!H2:H183,D14)</x:f>
        <x:v>56</x:v>
      </x:c>
    </x:row>
    <x:row r="15" ht="28" customHeight="1">
      <x:c r="A15" s="7" t="str">
        <x:v>Roster</x:v>
      </x:c>
      <x:c r="B15" s="8"/>
      <x:c r="C15" s="2"/>
      <x:c r="D15" s="2" t="str">
        <x:v>Neutral</x:v>
      </x:c>
      <x:c r="E15" s="8" t="n">
        <x:f>COUNTIF(Cards!H2:H183,D15)</x:f>
        <x:v>66</x:v>
      </x:c>
    </x:row>
    <x:row r="16" ht="28" customHeight="1">
      <x:c r="A16" s="2" t="str">
        <x:v>Cards</x:v>
      </x:c>
      <x:c r="B16" s="8" t="n">
        <x:f>COUNTA(Cards!L2:L183)</x:f>
        <x:v>182</x:v>
      </x:c>
      <x:c r="C16" s="2"/>
      <x:c r="D16" s="2" t="str">
        <x:v>Evil</x:v>
      </x:c>
      <x:c r="E16" s="8" t="n">
        <x:f>COUNTIF(Cards!H2:H183,D16)</x:f>
        <x:v>60</x:v>
      </x:c>
    </x:row>
    <x:row r="17" ht="28" customHeight="1">
      <x:c r="A17" s="2" t="str">
        <x:v>Relics</x:v>
      </x:c>
      <x:c r="B17" s="8" t="n">
        <x:f>COUNTA(Relics!F2:F35)</x:f>
        <x:v>34</x:v>
      </x:c>
      <x:c r="C17" s="2"/>
      <x:c r="D17" s="2"/>
      <x:c r="E17" s="8"/>
    </x:row>
    <x:row r="18" ht="28" customHeight="1">
      <x:c r="A18" s="2" t="str">
        <x:v>All collectible cards</x:v>
      </x:c>
      <x:c r="B18" s="8" t="n">
        <x:f>SUM(B16:B17)</x:f>
        <x:v>216</x:v>
      </x:c>
      <x:c r="C18" s="2"/>
      <x:c r="D18" s="26" t="str">
        <x:v>Mana includes relics</x:v>
      </x:c>
      <x:c r="E18" s="8"/>
    </x:row>
  </x:sheetData>
  <x:pageMargins left="0.7" right="0.7" top="0.75" bottom="0.75" header="0.3" footer="0.3"/>
</x:worksheet>
</file>