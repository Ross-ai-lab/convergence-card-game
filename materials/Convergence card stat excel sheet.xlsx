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rds" sheetId="1" r:id="rId5"/>
    <sheet state="visible" name="Relics" sheetId="2" r:id="rId6"/>
    <sheet state="visible" name="Rules" sheetId="3" r:id="rId7"/>
    <sheet state="visible" name="Summary" sheetId="4" r:id="rId8"/>
  </sheets>
  <definedNames>
    <definedName hidden="1" localSheetId="0" name="_xlnm._FilterDatabase">Cards!$A$1:$L$176</definedName>
    <definedName hidden="1" localSheetId="1" name="_xlnm._FilterDatabase">Relics!$A$1:$E$22</definedName>
  </definedNames>
  <calcPr/>
</workbook>
</file>

<file path=xl/sharedStrings.xml><?xml version="1.0" encoding="utf-8"?>
<sst xmlns="http://schemas.openxmlformats.org/spreadsheetml/2006/main" count="1725" uniqueCount="731">
  <si>
    <t>Cost</t>
  </si>
  <si>
    <t>Name</t>
  </si>
  <si>
    <t>Stats</t>
  </si>
  <si>
    <t>ATK</t>
  </si>
  <si>
    <t>HP</t>
  </si>
  <si>
    <t>Rarity</t>
  </si>
  <si>
    <t>Camp</t>
  </si>
  <si>
    <t>Alignment</t>
  </si>
  <si>
    <t>Card Effect</t>
  </si>
  <si>
    <t>Flavor Text</t>
  </si>
  <si>
    <t>Origin</t>
  </si>
  <si>
    <t>Ready?</t>
  </si>
  <si>
    <t>Neo</t>
  </si>
  <si>
    <t>5/8</t>
  </si>
  <si>
    <t>Mythic</t>
  </si>
  <si>
    <t>Tech</t>
  </si>
  <si>
    <t>Good</t>
  </si>
  <si>
    <t>Ongoing: Choose 1 friendly minion board slot. Minions on that board slot cannot be targeted by any effects, silence, and freeze</t>
  </si>
  <si>
    <t>"He didn't stop the bullets. He decided they were harmless"</t>
  </si>
  <si>
    <t>Matrix</t>
  </si>
  <si>
    <t>✅</t>
  </si>
  <si>
    <t>Saitama</t>
  </si>
  <si>
    <t>8/8</t>
  </si>
  <si>
    <t>Nature</t>
  </si>
  <si>
    <t>Passive: This minion cannot be attacked by minions with 5 or less ATK</t>
  </si>
  <si>
    <t>"The punchline is always the same"</t>
  </si>
  <si>
    <t>OPM</t>
  </si>
  <si>
    <t>Bill Cipher</t>
  </si>
  <si>
    <t>7/7</t>
  </si>
  <si>
    <t>Legendary</t>
  </si>
  <si>
    <t>Magic</t>
  </si>
  <si>
    <t>Evil</t>
  </si>
  <si>
    <t>Ongoing: Choose 1 enemy minion board slot. Minions on that board slot can only attack randomly</t>
  </si>
  <si>
    <t>“Chaos was his homeland for millenia”</t>
  </si>
  <si>
    <t>Gravity Falls</t>
  </si>
  <si>
    <t>Flash</t>
  </si>
  <si>
    <t>4/6</t>
  </si>
  <si>
    <t>Neutral</t>
  </si>
  <si>
    <t>Divine Shield
Passive: This minion can attack three times per turn</t>
  </si>
  <si>
    <t>"Speed of light. And beyond"</t>
  </si>
  <si>
    <t>MCU</t>
  </si>
  <si>
    <t>Giorno - Gold Experience Requiem</t>
  </si>
  <si>
    <t>Ongoing: Choose 1 enemy minion board slot. Enemy minions on that board slot are permanently silenced</t>
  </si>
  <si>
    <t>"Cause and Effect"</t>
  </si>
  <si>
    <t>JoJo</t>
  </si>
  <si>
    <t>Thanos</t>
  </si>
  <si>
    <t>5/7</t>
  </si>
  <si>
    <t>Ongoing: Both players randomly destroy 1 minion from the board and discard 1 minion from hand</t>
  </si>
  <si>
    <t>"Balance. At any cost"</t>
  </si>
  <si>
    <t>Doctor Manhattan</t>
  </si>
  <si>
    <t>3/7</t>
  </si>
  <si>
    <t>Epic</t>
  </si>
  <si>
    <t>Ongoing: Set any one minion's ATK and HP to values between 1 and 5</t>
  </si>
  <si>
    <t>“Transcended”</t>
  </si>
  <si>
    <t>DCU</t>
  </si>
  <si>
    <t>Mastered Ultra Instinct Goku</t>
  </si>
  <si>
    <t>Ongoing: Choose 1 friendly minion board slot. Minions on that board slot gain +2/2 at the start of your turn</t>
  </si>
  <si>
    <t>"Activate Universe Breathing Technique"</t>
  </si>
  <si>
    <t>Dragon Ball</t>
  </si>
  <si>
    <t>Rick Prime</t>
  </si>
  <si>
    <t>4/10</t>
  </si>
  <si>
    <t>Ongoing: Gain 1 Ascension Relic</t>
  </si>
  <si>
    <t>"What…”</t>
  </si>
  <si>
    <t>Rick and Morty</t>
  </si>
  <si>
    <t>The Watcher</t>
  </si>
  <si>
    <t>6/8</t>
  </si>
  <si>
    <t>Ongoing: Steal the highest-cost card in your opponent's hand</t>
  </si>
  <si>
    <t>“The Witness”</t>
  </si>
  <si>
    <t>Escanor “The One”</t>
  </si>
  <si>
    <t>Ongoing: If you control no other minions, deal 8 DMG to an enemy minion of your choice</t>
  </si>
  <si>
    <t>“The Sun, incarnated”</t>
  </si>
  <si>
    <t>Seven Deadly Sins</t>
  </si>
  <si>
    <t>Light Yagami</t>
  </si>
  <si>
    <t>1/8</t>
  </si>
  <si>
    <t>Ongoing: Kill the lowest-ATK enemy minion</t>
  </si>
  <si>
    <t>"Ryuk. Come help”</t>
  </si>
  <si>
    <t>Death Note</t>
  </si>
  <si>
    <t>Ainz Ooal Gown</t>
  </si>
  <si>
    <t>4/8</t>
  </si>
  <si>
    <t>Ongoing: Gain an Ascension Relic</t>
  </si>
  <si>
    <t>"The king of death”</t>
  </si>
  <si>
    <t>Overlord</t>
  </si>
  <si>
    <t>Gojo</t>
  </si>
  <si>
    <t>5/6</t>
  </si>
  <si>
    <t>Passive: Can only be damaged by ATK of 5 and higher</t>
  </si>
  <si>
    <t>“Infinity"</t>
  </si>
  <si>
    <t>Jujutsu Kaisen</t>
  </si>
  <si>
    <t>Lelouch Lamperouge</t>
  </si>
  <si>
    <t>2/7</t>
  </si>
  <si>
    <t>Ongoing: Gain control of a minion with 4 HP or less at the start of your next turn</t>
  </si>
  <si>
    <t>"Obey”</t>
  </si>
  <si>
    <t>Code Geass</t>
  </si>
  <si>
    <t>Tempest’s Guardian Lords</t>
  </si>
  <si>
    <t>Ongoing: Deal 4 DMG to an Evil enemy minion</t>
  </si>
  <si>
    <t>"Infinite growth"</t>
  </si>
  <si>
    <t>Tensura</t>
  </si>
  <si>
    <t>Aizen</t>
  </si>
  <si>
    <t>5/5</t>
  </si>
  <si>
    <t>Divine Shield
Ongoing: If this minion's Divine Shield has been broken, restore it</t>
  </si>
  <si>
    <t>“All part of the plan”</t>
  </si>
  <si>
    <t>Bleach</t>
  </si>
  <si>
    <t>Boros</t>
  </si>
  <si>
    <t>Ongoing: Heal 5 HP</t>
  </si>
  <si>
    <t>“Strongest of his Universe”</t>
  </si>
  <si>
    <t>Conquest</t>
  </si>
  <si>
    <t>3/6</t>
  </si>
  <si>
    <t>Ongoing: For every enemy Good minion on the board gain +3/+2</t>
  </si>
  <si>
    <t>“Named after his purpose”</t>
  </si>
  <si>
    <t>Invincible</t>
  </si>
  <si>
    <t>Dormammu</t>
  </si>
  <si>
    <t>6/6</t>
  </si>
  <si>
    <t>Ongoing: Shuffle your hand into your deck; draw that many cards</t>
  </si>
  <si>
    <t>“I’ve come to bargain”</t>
  </si>
  <si>
    <t>Mob Psycho</t>
  </si>
  <si>
    <t>Ongoing: Gain +2/+2</t>
  </si>
  <si>
    <t>"A quiet storm”</t>
  </si>
  <si>
    <t>Morpheus</t>
  </si>
  <si>
    <t>Ongoing: Replace all other friendly minions, with random ones from the deck. The replaced minions are destroyed and the new minions are summoned in the same slots</t>
  </si>
  <si>
    <t>"He doesn’t offer truth—only the courage to face it"</t>
  </si>
  <si>
    <t>Death Star</t>
  </si>
  <si>
    <t>9/9</t>
  </si>
  <si>
    <t>Rare</t>
  </si>
  <si>
    <t>-</t>
  </si>
  <si>
    <t>Basic</t>
  </si>
  <si>
    <t>Doomsday</t>
  </si>
  <si>
    <t>Passive: After it is attacked, gain immunity to that enemies Camp type of attack for the next 2 enemy turns</t>
  </si>
  <si>
    <t>"Death is his only teacher, and he has learned well"</t>
  </si>
  <si>
    <t>Ten Tails</t>
  </si>
  <si>
    <t>6/7</t>
  </si>
  <si>
    <t>Ongoing: Destroy one minion with 4 or less HP of your choice</t>
  </si>
  <si>
    <t>"The beast before beginnings, hungry for the end"</t>
  </si>
  <si>
    <t>Naruto</t>
  </si>
  <si>
    <t>Gol D. Roger - King of Pirates</t>
  </si>
  <si>
    <t>“He has already won”</t>
  </si>
  <si>
    <t>One Piece</t>
  </si>
  <si>
    <t>Marshall D. Teach</t>
  </si>
  <si>
    <t>Ongoing: Copy a passive from one friendly and one enemy minion</t>
  </si>
  <si>
    <t>“Steal steal steal”</t>
  </si>
  <si>
    <t>Gilgamesh</t>
  </si>
  <si>
    <t>“Unworthy”</t>
  </si>
  <si>
    <t>Fate</t>
  </si>
  <si>
    <t>Kaido</t>
  </si>
  <si>
    <t>Chained
Taunt
(Taunt activates after the Chained period ends)</t>
  </si>
  <si>
    <t>“Rules of the seas”</t>
  </si>
  <si>
    <t>Korosensei</t>
  </si>
  <si>
    <t>Passive: Can only be damaged by ATK of 4 and higher</t>
  </si>
  <si>
    <t>“Mach 20”</t>
  </si>
  <si>
    <t>Assassination Classroom</t>
  </si>
  <si>
    <t>Monkey D. Luffy Gear 5</t>
  </si>
  <si>
    <t>7/3</t>
  </si>
  <si>
    <t>Passive: invulnerable as long as you control another Good minion</t>
  </si>
  <si>
    <t>"Reality bends; laughter reigns"</t>
  </si>
  <si>
    <t>Chaos</t>
  </si>
  <si>
    <t>Ongoing: Give all friendly minions +4/-1</t>
  </si>
  <si>
    <t>"He gives gifts. He never mentions the cost"</t>
  </si>
  <si>
    <t>Hades</t>
  </si>
  <si>
    <t>S-Class Heroes</t>
  </si>
  <si>
    <t>Ongoing: Give +3/+3 to one of your Good type minion</t>
  </si>
  <si>
    <t>“The strongest team”</t>
  </si>
  <si>
    <t>Sans</t>
  </si>
  <si>
    <t>Ongoing: All enemy minions attack random enemy targets next turn</t>
  </si>
  <si>
    <t>“HELLO, WORLD!”</t>
  </si>
  <si>
    <t>Undertale</t>
  </si>
  <si>
    <t>Ongoing: Give +3/+3 to one of your Magic type minion</t>
  </si>
  <si>
    <t>“The Magic Number”</t>
  </si>
  <si>
    <t>Superman</t>
  </si>
  <si>
    <t>Passive: Your minions cannot be Silenced or Frozen</t>
  </si>
  <si>
    <t>"THE Hero"</t>
  </si>
  <si>
    <t>Whitebeard</t>
  </si>
  <si>
    <t>Ongoing: Deal 2 DMG to ALL other minions</t>
  </si>
  <si>
    <t>“Split the World in two”</t>
  </si>
  <si>
    <t>Elder Centipede</t>
  </si>
  <si>
    <t>“Billion year old”</t>
  </si>
  <si>
    <t>Hypnos</t>
  </si>
  <si>
    <t>0/7</t>
  </si>
  <si>
    <t>Passive: Freeze the enemy minion which attacks this</t>
  </si>
  <si>
    <t>“He sleeps in his sleep”</t>
  </si>
  <si>
    <t>Star Destroyer</t>
  </si>
  <si>
    <t>Netero</t>
  </si>
  <si>
    <t>3/4</t>
  </si>
  <si>
    <t>Divine Shield
Ongoing: Give Divine Shield to all Good and Magic type friendly minions</t>
  </si>
  <si>
    <t>"Each prayer strikes harder than any fist"</t>
  </si>
  <si>
    <t>HxH</t>
  </si>
  <si>
    <t>Vergil &amp; Dante &amp; Nero</t>
  </si>
  <si>
    <t>Passive: This minion can attack two times per turn</t>
  </si>
  <si>
    <t>“Infinite potential”</t>
  </si>
  <si>
    <t>Devil May Cry</t>
  </si>
  <si>
    <t>All for One</t>
  </si>
  <si>
    <t>Ongoing: Copy and trigger effect of an enemy minion</t>
  </si>
  <si>
    <t>“A Collector”</t>
  </si>
  <si>
    <t>MHA</t>
  </si>
  <si>
    <t>Avengers</t>
  </si>
  <si>
    <t>4/4</t>
  </si>
  <si>
    <t>Ongoing: Gain left friendly minion stats to yourself permanently. Do not destroy the minion</t>
  </si>
  <si>
    <t>"When the world breaks, they assemble"</t>
  </si>
  <si>
    <t>Doctor Strange</t>
  </si>
  <si>
    <t>Ongoing: Deal 2 DMG to all enemy minions</t>
  </si>
  <si>
    <t>“Magic trumps everything”</t>
  </si>
  <si>
    <t>Kizaru</t>
  </si>
  <si>
    <t>4/5</t>
  </si>
  <si>
    <t>Ongoing: Gain Divine Shield</t>
  </si>
  <si>
    <t>“Light logia”</t>
  </si>
  <si>
    <t>One piece</t>
  </si>
  <si>
    <t>Aladdin Lamp</t>
  </si>
  <si>
    <t>Ongoing: Steal a card in your opponent's hand</t>
  </si>
  <si>
    <t>"What does thy wish”</t>
  </si>
  <si>
    <t>Aladdin</t>
  </si>
  <si>
    <t>All Might</t>
  </si>
  <si>
    <t>Ongoing: Restore one friendly minion of your choice to full health</t>
  </si>
  <si>
    <t>“Number One”</t>
  </si>
  <si>
    <t>Doom Slayer</t>
  </si>
  <si>
    <t>Ongoing: If this minion starts the turn damaged, gain +2/+2 to self and another friendly minion</t>
  </si>
  <si>
    <t>"He cleaned Hell and came back”</t>
  </si>
  <si>
    <t>Doom</t>
  </si>
  <si>
    <t>G-Man</t>
  </si>
  <si>
    <t>1/7</t>
  </si>
  <si>
    <t>Ongoing: Set a minion’s ATK to 0</t>
  </si>
  <si>
    <t>“Mr. Freeman, in the flesh”</t>
  </si>
  <si>
    <t>Half-Life</t>
  </si>
  <si>
    <t>Grand Master Yoda</t>
  </si>
  <si>
    <t>2/6</t>
  </si>
  <si>
    <t>Ongoing: Silence one enemy minion of your choice</t>
  </si>
  <si>
    <t>"Nine centuries of learning”</t>
  </si>
  <si>
    <t>Star Wars</t>
  </si>
  <si>
    <t>Ultron Prime</t>
  </si>
  <si>
    <t>3/5</t>
  </si>
  <si>
    <t>Passive: This minion gains +2/+2 for each friendly 'Tech' minion that dies</t>
  </si>
  <si>
    <t>“He decided the most efficient protection was elimination"</t>
  </si>
  <si>
    <t>Godzilla</t>
  </si>
  <si>
    <t>Ongoing: If this minion starts the turn damaged, gain +2/+2</t>
  </si>
  <si>
    <t>“Laser breathing”</t>
  </si>
  <si>
    <t>King</t>
  </si>
  <si>
    <t>Passive: Whenever this minion takes damage, freeze the attacker</t>
  </si>
  <si>
    <t>“Luckiest man alive”</t>
  </si>
  <si>
    <t>UFO Fleet</t>
  </si>
  <si>
    <t>Avatar Aang</t>
  </si>
  <si>
    <t>2/2</t>
  </si>
  <si>
    <t>Divine Shield
Ongoing: This minion gains +1/+1 for each different Camp and Alignment on the board</t>
  </si>
  <si>
    <t>"The last airbender”</t>
  </si>
  <si>
    <t>Avatar</t>
  </si>
  <si>
    <t>Nulgath</t>
  </si>
  <si>
    <t>1/1</t>
  </si>
  <si>
    <t>Passive: Whenever any minion dies, this minion gains +2/+2</t>
  </si>
  <si>
    <t>"He bargains in the deepest of shadows”</t>
  </si>
  <si>
    <t>AQW</t>
  </si>
  <si>
    <t>Gandalf the White</t>
  </si>
  <si>
    <t>Divine Shield
Ongoing: Give all friendly minions Divine Shield</t>
  </si>
  <si>
    <t>"An incarnated angel"</t>
  </si>
  <si>
    <t>Lord of the Rings</t>
  </si>
  <si>
    <t>Gordon Freeman</t>
  </si>
  <si>
    <t>Passive: This minion is invulnerable if it is the only minion on the board</t>
  </si>
  <si>
    <t>“I̵n̷ ̵t̵h̵e̷ ̵f̴l̵e̷s̷h̴…”</t>
  </si>
  <si>
    <t>Half-life</t>
  </si>
  <si>
    <t>Mahoraga</t>
  </si>
  <si>
    <t>Passive: Can only be attacked by each enemy minion once per game</t>
  </si>
  <si>
    <t>"Adaptation is not survival—it is dominance"</t>
  </si>
  <si>
    <t>Time Bomb</t>
  </si>
  <si>
    <t>Ongoing: Deal 3 DMG to all enemy minions</t>
  </si>
  <si>
    <t>“Timer is T-1”</t>
  </si>
  <si>
    <t>Loki</t>
  </si>
  <si>
    <t>13 Lords of Chaos</t>
  </si>
  <si>
    <t>Ongoing: Choose an evil minion. It is invulnerable next turn</t>
  </si>
  <si>
    <t>“Drakath, King of Chaos”</t>
  </si>
  <si>
    <t>Floor Guardians</t>
  </si>
  <si>
    <t>Ongoing: If you control 2 or more Evil minions, this minion gains Divine Shield</t>
  </si>
  <si>
    <t>"They do not guard the floors—they own them"</t>
  </si>
  <si>
    <t>Meruem</t>
  </si>
  <si>
    <t>Ongoing: Destroy all enemy minions with 2 HP or less</t>
  </si>
  <si>
    <t>“Loyalty”</t>
  </si>
  <si>
    <t>Sonic</t>
  </si>
  <si>
    <t>6/3</t>
  </si>
  <si>
    <t>Passive: All of your minions except this one have taunt</t>
  </si>
  <si>
    <t>“SS”</t>
  </si>
  <si>
    <t>Sonic the Hedgehog</t>
  </si>
  <si>
    <t>T-1000</t>
  </si>
  <si>
    <t>Ongoing: Heal 3 HP</t>
  </si>
  <si>
    <t>“Liquid metal”</t>
  </si>
  <si>
    <t>Toji</t>
  </si>
  <si>
    <t>4/3</t>
  </si>
  <si>
    <t>"No magic. No mercy”</t>
  </si>
  <si>
    <t>Dominion Authority</t>
  </si>
  <si>
    <t>Ongoing: Restore one friendly Good minion of your choice to full health</t>
  </si>
  <si>
    <t>"Loyalty”</t>
  </si>
  <si>
    <t>Founding Titan</t>
  </si>
  <si>
    <t>Passive: This minion and minions adjacent to it cannot be Frozen or Silenced</t>
  </si>
  <si>
    <t>"The walls were never meant to protect”</t>
  </si>
  <si>
    <t>Attack on Titan</t>
  </si>
  <si>
    <t>Homelander</t>
  </si>
  <si>
    <t>3/3</t>
  </si>
  <si>
    <t>Passive: If this is your only minion, it has +5/+5</t>
  </si>
  <si>
    <t>“Central casting”</t>
  </si>
  <si>
    <t>The Boys</t>
  </si>
  <si>
    <t>Kratos</t>
  </si>
  <si>
    <t>Chained
Passive: Gain an Ascension Relic after being Unchained</t>
  </si>
  <si>
    <t>"He killed the gods of his world”</t>
  </si>
  <si>
    <t>God of War Game</t>
  </si>
  <si>
    <t>Shigaraki</t>
  </si>
  <si>
    <t>Ongoing: Gain +1/+1 for each other Evil minion</t>
  </si>
  <si>
    <t>“Revenge”</t>
  </si>
  <si>
    <t>Ten Commandments</t>
  </si>
  <si>
    <t>Ongoing: Steal any 'Ascension Relics' in your opponents hand</t>
  </si>
  <si>
    <t>“Their reputation preceded them by centuries”</t>
  </si>
  <si>
    <t>UFO</t>
  </si>
  <si>
    <t>Yoriichi Type Zero</t>
  </si>
  <si>
    <t>5/4</t>
  </si>
  <si>
    <t>Passive: Whenever a friendly minion survives a combat, it gains +2/+1.</t>
  </si>
  <si>
    <t>“Strongest puppet”</t>
  </si>
  <si>
    <t>Demon Slayer</t>
  </si>
  <si>
    <t>Grand Master Oogway</t>
  </si>
  <si>
    <t>Divine Shield
Ongoing: Silence one enemy minion of your choice</t>
  </si>
  <si>
    <t>"Patience"</t>
  </si>
  <si>
    <t>Kung Fu Panda</t>
  </si>
  <si>
    <t>Kojiro Sasaki</t>
  </si>
  <si>
    <t>Passive: When an enemy minion attacks another one of your minions, you can choose to direct the attack to yourself</t>
  </si>
  <si>
    <t>“Spending infinity in the Astral made him on par with the Gods”</t>
  </si>
  <si>
    <t>RoR</t>
  </si>
  <si>
    <t>Buddha</t>
  </si>
  <si>
    <t>Ongoing: Set an enemy minion’s HP to 1</t>
  </si>
  <si>
    <t>“Peace”</t>
  </si>
  <si>
    <t>Dio Brando</t>
  </si>
  <si>
    <t>Passive: Freeze an enemy minion standing on the opposing side</t>
  </si>
  <si>
    <t>“THE WORLD”</t>
  </si>
  <si>
    <t>Elden Beast</t>
  </si>
  <si>
    <t>2/4</t>
  </si>
  <si>
    <t>Ongoing: Deal 2 DMG to an enemy magic minion</t>
  </si>
  <si>
    <t>“Legends carved into the Lands Between”</t>
  </si>
  <si>
    <t>Elden Ring</t>
  </si>
  <si>
    <t>Eye of Sauron</t>
  </si>
  <si>
    <t>2/5</t>
  </si>
  <si>
    <t>Ongoing: Look at a random card from the enemy’s hand</t>
  </si>
  <si>
    <t>“Try and hide”</t>
  </si>
  <si>
    <t>Big Mom</t>
  </si>
  <si>
    <t>Ongoing: Destroy a friendly minion. Gain its ATK and HP, in addition to your own</t>
  </si>
  <si>
    <t>“Greed”</t>
  </si>
  <si>
    <t>Darth Vader</t>
  </si>
  <si>
    <t>Ongoing: Destroy a random minion with less than 3 HP if it is Good</t>
  </si>
  <si>
    <t>“Reborn”</t>
  </si>
  <si>
    <t>Fire Lord Ozai</t>
  </si>
  <si>
    <t>Ongoing: Deal 3 damage to ALL other minions</t>
  </si>
  <si>
    <t>“Entitlement”</t>
  </si>
  <si>
    <t>Rennala Queen of the Full Moon</t>
  </si>
  <si>
    <t>Ongoing: Freeze a minion</t>
  </si>
  <si>
    <t>“The Moon”</t>
  </si>
  <si>
    <t>Silver Surfer</t>
  </si>
  <si>
    <t>Divine Shield
Ongoing: Summon a random minion in your hand. It enters Chained</t>
  </si>
  <si>
    <t>"The tide he brings drowns worlds"</t>
  </si>
  <si>
    <t>The 7? Heroic Spirits</t>
  </si>
  <si>
    <t>Ongoing: Destroy a random other minion with less than 3 HP if it is Neutral</t>
  </si>
  <si>
    <t>"Legends reborn”</t>
  </si>
  <si>
    <t>Deep Sea King</t>
  </si>
  <si>
    <t>Ongoing: Gain +3/+3 if you are the only Evil minion on the board</t>
  </si>
  <si>
    <t>“This is why you stay out of the ocean”</t>
  </si>
  <si>
    <t>Dragon</t>
  </si>
  <si>
    <t>Taunt</t>
  </si>
  <si>
    <t>“ROAR”</t>
  </si>
  <si>
    <t>Myth</t>
  </si>
  <si>
    <t>Dumbledore</t>
  </si>
  <si>
    <t>Ongoing: Gain +3/+3 if there are no Evil minions on the board</t>
  </si>
  <si>
    <t>“He always asks calmly”</t>
  </si>
  <si>
    <t>Harry Potter</t>
  </si>
  <si>
    <t>Fort</t>
  </si>
  <si>
    <t>GLaDOS</t>
  </si>
  <si>
    <t>Ongoing: Reduce one enemy minion's ATK by 3 permanently</t>
  </si>
  <si>
    <t>"The test continues”</t>
  </si>
  <si>
    <t>Portal</t>
  </si>
  <si>
    <t>Ragnaros the Firelord</t>
  </si>
  <si>
    <t>Ongoing: Destroy a random minion with less than 3 HP if it is Neutral</t>
  </si>
  <si>
    <t>"Summoned. Once again”</t>
  </si>
  <si>
    <t>Hearthstone</t>
  </si>
  <si>
    <t>The Driller</t>
  </si>
  <si>
    <t>Taunt
Ongoing: Give another minion Taunt</t>
  </si>
  <si>
    <t>“Latest design”</t>
  </si>
  <si>
    <t>Transformers</t>
  </si>
  <si>
    <t>Ongoing: Discard one Tech card in your hand. Gain its stats</t>
  </si>
  <si>
    <t>“Cybertronian”</t>
  </si>
  <si>
    <t>Yubaba</t>
  </si>
  <si>
    <t>Ongoing: Choose 1 enemy minion. At the start of your next turn, destroy it (this triggers even if Yubaba is destroyed before then)</t>
  </si>
  <si>
    <t>“Are you looking for employment?”</t>
  </si>
  <si>
    <t>Spirited Away</t>
  </si>
  <si>
    <t>Yujiro</t>
  </si>
  <si>
    <t>5/3</t>
  </si>
  <si>
    <t>Ongoing: Freeze an enemy minion standing on the opposing side of the board</t>
  </si>
  <si>
    <t>"The strongest man alive"</t>
  </si>
  <si>
    <t>Baki</t>
  </si>
  <si>
    <t>Chrollo</t>
  </si>
  <si>
    <t>Ongoing: Copy a passive from a minion. That minion loses the passive as long as Chrollo is alive</t>
  </si>
  <si>
    <t>"A poisonous spider"</t>
  </si>
  <si>
    <t>Musashi</t>
  </si>
  <si>
    <t>2/3</t>
  </si>
  <si>
    <t>Ongoing: Destroy one damaged enemy minion of your choice</t>
  </si>
  <si>
    <t>“Another duel to win"</t>
  </si>
  <si>
    <t>Nine Hashira</t>
  </si>
  <si>
    <t>4/1</t>
  </si>
  <si>
    <t>Passive: Invulnerable as long as you control 3 or more Good minions (including this one)</t>
  </si>
  <si>
    <t>"Nine pillars holding the sky”</t>
  </si>
  <si>
    <t>Po</t>
  </si>
  <si>
    <t>Passive: Gains +2/+2 each time this minion attacks and survives</t>
  </si>
  <si>
    <t>"Chosen by accident. Or destiny?</t>
  </si>
  <si>
    <t>Doctor Octopus</t>
  </si>
  <si>
    <t>Ongoing: Destroy one enemy Ascension Relic (equipped by an enemy minion) of your choice</t>
  </si>
  <si>
    <t>“The power of the Sun, in the palm of my hands”</t>
  </si>
  <si>
    <t>Gyoro Gyoro</t>
  </si>
  <si>
    <t>1/4</t>
  </si>
  <si>
    <t>Ongoing: Give +2/+2 to a friendly Evil minion of your choice</t>
  </si>
  <si>
    <t>“Puppet’s puppet-master”</t>
  </si>
  <si>
    <t>Kite</t>
  </si>
  <si>
    <t>1/2</t>
  </si>
  <si>
    <t>Ongoing: Roll a dice to gain from +1/+1 to +6/+6</t>
  </si>
  <si>
    <t>"Spin the wheel”</t>
  </si>
  <si>
    <t>Lord Voldemort</t>
  </si>
  <si>
    <t>Ongoing: Discard two cards. Draw 2 cards</t>
  </si>
  <si>
    <t>“Seven horcruxes”</t>
  </si>
  <si>
    <t>One-Eyed Owl</t>
  </si>
  <si>
    <t>Chained</t>
  </si>
  <si>
    <t>“All seeing eye”</t>
  </si>
  <si>
    <t>Tokyo Ghoul</t>
  </si>
  <si>
    <t>The Mask</t>
  </si>
  <si>
    <t>Ongoing: Take a card from the enemy’s hand</t>
  </si>
  <si>
    <t>“True nature, revealed”</t>
  </si>
  <si>
    <t>Albion</t>
  </si>
  <si>
    <t>“Mountain-tall”</t>
  </si>
  <si>
    <t>Battleship</t>
  </si>
  <si>
    <t>Carnage Kabuto</t>
  </si>
  <si>
    <t>Ongoing: Gain +3 ATK</t>
  </si>
  <si>
    <t>"Maximum evolution”</t>
  </si>
  <si>
    <t>Fantastic Four</t>
  </si>
  <si>
    <t>Ongoing: Deal 1 DMG, if that kills a minion, deal 3 DMG to another minion</t>
  </si>
  <si>
    <t>“4”</t>
  </si>
  <si>
    <t>General Grievous</t>
  </si>
  <si>
    <t>Ongoing: Give one friendly Tech minion +2/+2</t>
  </si>
  <si>
    <t>Shifu with the furious five</t>
  </si>
  <si>
    <t>Ongoing: Whenever you play a Good type friendly minion this turn, it gains Divine Shield</t>
  </si>
  <si>
    <t>“Resilience”</t>
  </si>
  <si>
    <t>Spider-Man</t>
  </si>
  <si>
    <t>Ongoing: Freeze an enemy minion and halve its ATK (rounded up)</t>
  </si>
  <si>
    <t>“Responsibility”</t>
  </si>
  <si>
    <t>Wall of Flesh</t>
  </si>
  <si>
    <t>"A living barricade”</t>
  </si>
  <si>
    <t>Terraria</t>
  </si>
  <si>
    <t>Darkwing</t>
  </si>
  <si>
    <t>Passive: The minion which kills this minion also dies right after</t>
  </si>
  <si>
    <t>"He knew the cost”</t>
  </si>
  <si>
    <t>Knov</t>
  </si>
  <si>
    <t>Divine Shield
Ongoing: Give a minion Divine Shield</t>
  </si>
  <si>
    <t>“The Room”</t>
  </si>
  <si>
    <t>Aizawa</t>
  </si>
  <si>
    <t>"All it takes is one look”</t>
  </si>
  <si>
    <t>Gums</t>
  </si>
  <si>
    <t>3/2</t>
  </si>
  <si>
    <t>Ongoing: Kill a minion with stats equal or less than 3/3. Gain it’s stats</t>
  </si>
  <si>
    <t>“Insatiable hunger”</t>
  </si>
  <si>
    <t>Nyan</t>
  </si>
  <si>
    <t>Passive: Nyan has 50% (roll a dice) to escape an attack—Nyan takes no damage and deals no counterattack</t>
  </si>
  <si>
    <t>“Cat King”</t>
  </si>
  <si>
    <t>The Five Convicts</t>
  </si>
  <si>
    <t>2/1</t>
  </si>
  <si>
    <t>"death sentence"</t>
  </si>
  <si>
    <t>Dabi</t>
  </si>
  <si>
    <t>Ongoing: Deal 1 DMG to ALL other minions</t>
  </si>
  <si>
    <t>"He burns with anger”</t>
  </si>
  <si>
    <t>Godrick the Grafted</t>
  </si>
  <si>
    <t>4/2</t>
  </si>
  <si>
    <t>Passive: Draw a Relic after this minion kills a minion</t>
  </si>
  <si>
    <t>“Grafted”</t>
  </si>
  <si>
    <t>Illumi</t>
  </si>
  <si>
    <t>Ongoing: Gain control of a minion with 2 HP or less</t>
  </si>
  <si>
    <t>“Control”</t>
  </si>
  <si>
    <t>Kento Nanami</t>
  </si>
  <si>
    <t>Ongoing: Choose an enemy minion; when that minion dies, gain +2/2 if you are alive</t>
  </si>
  <si>
    <t>“7:3 Ratio Technique”</t>
  </si>
  <si>
    <t>Kuma</t>
  </si>
  <si>
    <t>Ongoing: Return a friendly minion to your hand. It costs 5 less the next time it is played this game (minimum 1)</t>
  </si>
  <si>
    <t>“Weapon”</t>
  </si>
  <si>
    <t>Tai Lung</t>
  </si>
  <si>
    <t>“Imprisoned for 20 years”</t>
  </si>
  <si>
    <t>APR</t>
  </si>
  <si>
    <t>0/2</t>
  </si>
  <si>
    <t>Passive: After the enemy minion attacks this minion, it can never attack again</t>
  </si>
  <si>
    <t>“Taxes”</t>
  </si>
  <si>
    <t>Cthulhu</t>
  </si>
  <si>
    <t>Ongoing: All enemy minions lose 2 ATK</t>
  </si>
  <si>
    <t>"He dreams”</t>
  </si>
  <si>
    <t>Giant Crystal</t>
  </si>
  <si>
    <t>Divine Shield
Ongoing: Give all other friendly Magic minions +2/+1</t>
  </si>
  <si>
    <t>“Spawnpoint”</t>
  </si>
  <si>
    <t>Core</t>
  </si>
  <si>
    <t>Giant Tree</t>
  </si>
  <si>
    <t>Divine Shield
Ongoing: Give all other friendly Nature minions +2/+1</t>
  </si>
  <si>
    <t>Modern Tank</t>
  </si>
  <si>
    <t>RoboCop</t>
  </si>
  <si>
    <t>Taunt
Passive: Deals 3x DMG against Evil minions</t>
  </si>
  <si>
    <t>“Uphold the law”</t>
  </si>
  <si>
    <t>Tech Hub</t>
  </si>
  <si>
    <t>Divine Shield
Ongoing: Give all other friendly Tech minions +2/+1</t>
  </si>
  <si>
    <t>“"Every machine came from somewhere. This is that somewhere”</t>
  </si>
  <si>
    <t>Zoro</t>
  </si>
  <si>
    <t>Passive: Gain +1/+1 after killing a minion</t>
  </si>
  <si>
    <t>Pandora’s Actor</t>
  </si>
  <si>
    <t>Ongoing: Choose a minion on the board. Gain a copy of its effects. The original minion keeps their effects</t>
  </si>
  <si>
    <t>Survivors</t>
  </si>
  <si>
    <t>Divine Shield</t>
  </si>
  <si>
    <t>"They weren't the strongest or the fastest. They were the ones who didn't stop"</t>
  </si>
  <si>
    <t>L4D2</t>
  </si>
  <si>
    <t>Cecil</t>
  </si>
  <si>
    <t>Divine Shield
Ongoing: Return an enemy minion back to the opponent’s hand</t>
  </si>
  <si>
    <t>Kaku Kaioh</t>
  </si>
  <si>
    <t>0/3</t>
  </si>
  <si>
    <t>Passive: Discard a random enemy card each time they hit this minion</t>
  </si>
  <si>
    <t>“162 years old”</t>
  </si>
  <si>
    <t>Kiritsugu Emiya</t>
  </si>
  <si>
    <t>Ongoing: Freeze an enemy minion</t>
  </si>
  <si>
    <t>“He walks alone"</t>
  </si>
  <si>
    <t>Kureo Mado</t>
  </si>
  <si>
    <t>"Mad hunter"</t>
  </si>
  <si>
    <t>Batman</t>
  </si>
  <si>
    <t>Ongoing: Freeze 2 enemy minions</t>
  </si>
  <si>
    <t>DC</t>
  </si>
  <si>
    <t>Kurogiri</t>
  </si>
  <si>
    <t>Passive: All minions attack randomly</t>
  </si>
  <si>
    <t>Lu Bu</t>
  </si>
  <si>
    <t>Ongoing: Copy ATK of any friendly minion on the board</t>
  </si>
  <si>
    <t>Record of Ragnarok</t>
  </si>
  <si>
    <t>Meleoron</t>
  </si>
  <si>
    <t>Passive: Meleoron and friendly minions on both of his sides are immune to Silence and Freeze</t>
  </si>
  <si>
    <t>“True invisibility”</t>
  </si>
  <si>
    <t>Mr. Oliva</t>
  </si>
  <si>
    <t>Passive: Can only be damaged by ATK of 2 and higher</t>
  </si>
  <si>
    <t>“Unchained"</t>
  </si>
  <si>
    <t>Stain</t>
  </si>
  <si>
    <t>Ongoing: Kill a damaged minion</t>
  </si>
  <si>
    <t>“No heroes”</t>
  </si>
  <si>
    <t>Bigfoot</t>
  </si>
  <si>
    <t>Passive: Can’t attack. 50% chance (roll a dice: 1-3 = miss, 4-6 = hit) to evade any attack</t>
  </si>
  <si>
    <t>Black Ops</t>
  </si>
  <si>
    <t>"Classified”</t>
  </si>
  <si>
    <t>Gravelord Nito</t>
  </si>
  <si>
    <t>0/1</t>
  </si>
  <si>
    <t>Passive: Gain +2/+1 when a minion dies</t>
  </si>
  <si>
    <t>Dark Souls</t>
  </si>
  <si>
    <t>Margit the fell omen</t>
  </si>
  <si>
    <t>Ongoing: Give a friendly Evil minion +3/+2 and heal it</t>
  </si>
  <si>
    <t>“The immovable”</t>
  </si>
  <si>
    <t>Ouken</t>
  </si>
  <si>
    <t>Ongoing: Copy HP of any friendly minion on the board</t>
  </si>
  <si>
    <t>"Immortality cost him everything"</t>
  </si>
  <si>
    <t>Ranking of Kings</t>
  </si>
  <si>
    <t>Pillar Men</t>
  </si>
  <si>
    <t>Sandworm</t>
  </si>
  <si>
    <t>Passive: Cannot be damaged by minions with ATK of 2 or less.</t>
  </si>
  <si>
    <t>Dune</t>
  </si>
  <si>
    <t>The Nameless King</t>
  </si>
  <si>
    <t>Ongoing: Choose a new Alignment (Good, Evil, or Neutral). All of your minions on the board immediately adopt this Alignment</t>
  </si>
  <si>
    <t>Indiana Jones</t>
  </si>
  <si>
    <t>Ongoing: Steal a random card in your opponent's hand</t>
  </si>
  <si>
    <t>“Mine”</t>
  </si>
  <si>
    <t>Joker</t>
  </si>
  <si>
    <t>Ongoing: Choose 2 cards in your opponents hand, reveal them, choose one to shuffle back into the deck</t>
  </si>
  <si>
    <t>"You’re the punchline!"</t>
  </si>
  <si>
    <t>Detective L</t>
  </si>
  <si>
    <t>Ongoing: Look at the first 3 cards on top of the deck pile</t>
  </si>
  <si>
    <t>Domovoy</t>
  </si>
  <si>
    <t>Ongoing: Draw a card</t>
  </si>
  <si>
    <t>"The house spirit”</t>
  </si>
  <si>
    <t>Flowey</t>
  </si>
  <si>
    <t>Ongoing: Give +1/+1 to all friendly Evil minions</t>
  </si>
  <si>
    <t>Kagaya Ubuyashiki</t>
  </si>
  <si>
    <t>Ongoing: Give +1/+1 to all friendly Good minions</t>
  </si>
  <si>
    <t>“Leadership”</t>
  </si>
  <si>
    <t>Angstrom Levy</t>
  </si>
  <si>
    <t>Ongoing: Give one friendly Neutral Tech minion +2/+2</t>
  </si>
  <si>
    <t>“Universe”</t>
  </si>
  <si>
    <t>Dr. Heinz Doofenshmirtz</t>
  </si>
  <si>
    <t>Ongoing: Roll a dice:
Low roll (1-2) = +1/+1 to all enemies
Medium roll (3-5) = +2/+2 to itself
High roll (6) = +4/4 to itself</t>
  </si>
  <si>
    <t>"Your doom will be unnecessarily complicated"</t>
  </si>
  <si>
    <t>Phineas and Ferb universe</t>
  </si>
  <si>
    <t>Mugen &amp; Jin</t>
  </si>
  <si>
    <t>Passive: Gain +1 ATK if you have another friendly minion on the board</t>
  </si>
  <si>
    <t>Samurai Champloo</t>
  </si>
  <si>
    <t>Sir Nighteye</t>
  </si>
  <si>
    <t>Ongoing: Randomly choose to reveal 2 cards in your opponent’s hand</t>
  </si>
  <si>
    <t>Vegapunk</t>
  </si>
  <si>
    <t>Ongoing: Give one friendly Good Tech minion +2/+2</t>
  </si>
  <si>
    <t>“His brain never stopped growing”</t>
  </si>
  <si>
    <t>Walter White</t>
  </si>
  <si>
    <t>Ongoing: Give +1/+1 to all friendly Neutral minions</t>
  </si>
  <si>
    <t>“Say. My. Name”</t>
  </si>
  <si>
    <t>Breaking Bad</t>
  </si>
  <si>
    <t>An Order of Heavy Knights</t>
  </si>
  <si>
    <t>"Honor. Duty”</t>
  </si>
  <si>
    <t>Davy Jones</t>
  </si>
  <si>
    <t>"Captain of the drowned"</t>
  </si>
  <si>
    <t>Pirates of the Caribbean</t>
  </si>
  <si>
    <t>Goblins</t>
  </si>
  <si>
    <t>John Wick</t>
  </si>
  <si>
    <t>Ongoing: Choose a card in the opponent's hand. They have next turn to play it or it gets discarded</t>
  </si>
  <si>
    <t>Mr. Poopybutthole</t>
  </si>
  <si>
    <t>Ongoing: Give a minion Taunt</t>
  </si>
  <si>
    <t>"He was there the whole time”</t>
  </si>
  <si>
    <t>Nezu</t>
  </si>
  <si>
    <t>Ongoing: Draw 1 card</t>
  </si>
  <si>
    <t>Shibukawa</t>
  </si>
  <si>
    <t>V</t>
  </si>
  <si>
    <t>Divine Shield
Taunt</t>
  </si>
  <si>
    <t>“V for Vendetta”</t>
  </si>
  <si>
    <t>V for Vendetta</t>
  </si>
  <si>
    <t>The Holy Grail</t>
  </si>
  <si>
    <t>The bearer doubles its ATK and HP</t>
  </si>
  <si>
    <t>"Every knight sought it”</t>
  </si>
  <si>
    <t>Lostvayne</t>
  </si>
  <si>
    <t>The bearer is invulnerable to Magic attacks</t>
  </si>
  <si>
    <t>One Ring</t>
  </si>
  <si>
    <t>The bearer deals 3 HDMG instead of the usual 1 while it is on board</t>
  </si>
  <si>
    <t>Lord of The Rings</t>
  </si>
  <si>
    <t>Sunshine Grace</t>
  </si>
  <si>
    <t>The bearer gains Divine Shield</t>
  </si>
  <si>
    <t>"The sun does not ask permission. It simply rises"</t>
  </si>
  <si>
    <t>Infinity Stone</t>
  </si>
  <si>
    <t>The bearer's attacks hit three enemies: the target + 2 adjacent enemies</t>
  </si>
  <si>
    <t>White Whistle</t>
  </si>
  <si>
    <t>The bearer triggers their “Ongoing” effect a second time each turn</t>
  </si>
  <si>
    <t>“Only those who’ve faced the Abyss may sound it”</t>
  </si>
  <si>
    <t>Made in Abyss</t>
  </si>
  <si>
    <t>Chamber of Secrets</t>
  </si>
  <si>
    <t>The bearer takes half damage from Nature minions (rounded down)</t>
  </si>
  <si>
    <t>"It has been opened before”</t>
  </si>
  <si>
    <t>Cyber-Enchantment</t>
  </si>
  <si>
    <t>The bearer takes half damage from Tech minions (rounded down)</t>
  </si>
  <si>
    <t>Ea</t>
  </si>
  <si>
    <t>The bearer gains double ATK damage</t>
  </si>
  <si>
    <t>“It remembers when the world had no shape”</t>
  </si>
  <si>
    <t>Elder wand</t>
  </si>
  <si>
    <t>The bearer takes half the damage from Magic minions (rounded down)</t>
  </si>
  <si>
    <t>Monster Cell</t>
  </si>
  <si>
    <t>The bearer gains +4/+4. It immediately loses all Passives, Ongoings, and Divine Shield (if any)</t>
  </si>
  <si>
    <t>“"Become the next thing. Leave behind something of the last”</t>
  </si>
  <si>
    <t>Philosopher’s Stone</t>
  </si>
  <si>
    <t>The bearer takes double damage on enemy’s turn (rounded down) but becomes fully invulnerable on your turn</t>
  </si>
  <si>
    <t>"Everything has a cost”</t>
  </si>
  <si>
    <t>Allspark Cube</t>
  </si>
  <si>
    <t>When the bearer kills an enemy minion, take that minion as a card to your hand. It has its base stats</t>
  </si>
  <si>
    <t>Anti-magic Mask</t>
  </si>
  <si>
    <t>The bearer gains immunity to Silence and Freeze</t>
  </si>
  <si>
    <t>"Magic is energy with rules attached. This removes the rules"</t>
  </si>
  <si>
    <t>That time I got reincarnated as a Slime</t>
  </si>
  <si>
    <t>Devil Fruit</t>
  </si>
  <si>
    <t>The bearer gains additional Ongoing: Gain +2/+2</t>
  </si>
  <si>
    <t>"The sea will never accept you again”</t>
  </si>
  <si>
    <t>Healing Potion</t>
  </si>
  <si>
    <t>The bearer fully heals themselves</t>
  </si>
  <si>
    <t>Queen’s Cocoon</t>
  </si>
  <si>
    <t>The bearer becomes Chained next turn (no attacking, no being attacked, no HDMG, no effects triggered). When it awakens a turn after that, it gains +3/+3</t>
  </si>
  <si>
    <t>Hxh</t>
  </si>
  <si>
    <t>Shinigami Eyes</t>
  </si>
  <si>
    <t>The bearer ignores Taunt and Divine Shield</t>
  </si>
  <si>
    <t>“I finally see”</t>
  </si>
  <si>
    <t>The Green Mask</t>
  </si>
  <si>
    <t>Return the bearer to your hand after death</t>
  </si>
  <si>
    <t>“Fears removed”</t>
  </si>
  <si>
    <t>Tesseract</t>
  </si>
  <si>
    <t>The bearer may change their board slot position once per turn, during your action phase</t>
  </si>
  <si>
    <t>“Space doesn’t exist”</t>
  </si>
  <si>
    <t>Infinity Castle</t>
  </si>
  <si>
    <t>Convergence — Official Rulebook (v1.0)</t>
  </si>
  <si>
    <t>Official Rulebook (v1.0)</t>
  </si>
  <si>
    <t>Convergence is a fan-made, not for sale, collectible card game where beings from countless universes collide. Though inspired by Hearthstone-style rules, it has its own system, synergy, and unique keywords. This game is intended to be a fun home-made game. What makes this game unique is its reliance on “Ongoing” effects, contrasting with “Battlecry” effect from Hearthstone (This game will never use “Battlecry”!). It makes every minion feel like a chess piece with an active presence rather than a one-pop utility.</t>
  </si>
  <si>
    <t>Each card consists of:</t>
  </si>
  <si>
    <t>Cost (mana required to play)</t>
  </si>
  <si>
    <t>Stats – Attack / Health (e.g. 4/5)</t>
  </si>
  <si>
    <t>Rarity – Rare (Black), Epic (Purple), Legendary (Yellow), Mythic (Red)</t>
  </si>
  <si>
    <t>Camp – Magic, Tech, Nature</t>
  </si>
  <si>
    <t>Alignment - Good, Evil, Neutral</t>
  </si>
  <si>
    <t>Effect text – Passive, Ongoing, Divine Shield, Taunt, etc.</t>
  </si>
  <si>
    <t>Flavor text – Purely for theme</t>
  </si>
  <si>
    <t>Origin – Source (e.g. MCU, OPM, Naruto)</t>
  </si>
  <si>
    <t>Card Rarity Distribution:</t>
  </si>
  <si>
    <t>There are 175 cards total. No copies allowed.</t>
  </si>
  <si>
    <t>Mythic - Red - 20 cards</t>
  </si>
  <si>
    <t>Legendary - Yellow - 40 cards</t>
  </si>
  <si>
    <t>Epic - Purple - 58 cards</t>
  </si>
  <si>
    <t>Rare - Black - 57 cards</t>
  </si>
  <si>
    <t>To make the overall game mana curve better, there are less cards which cost 7,8,9,10 mana.</t>
  </si>
  <si>
    <t>20 cards of mana value of 1 to 6 (out of which 2 are Red, 4 are Yellow, 6 are Purple, 8 are Black) =  20 x 6 = 120 cards</t>
  </si>
  <si>
    <t>15 cards of mana value of 7 to 9 (out of which 2 are Red, 4 are Yellow, 6 are Purple, 3 are Black) = 15 x 3 = 45 cards</t>
  </si>
  <si>
    <t>10 cards of mana value of 10 (out of which 2 are Red, 4 are Yellow, 4 are Purple) = 10 cards</t>
  </si>
  <si>
    <t>Game rules (Hearthstone rules apply except few exceptions)</t>
  </si>
  <si>
    <t xml:space="preserve">Board: Two players on opposing sides of the board. Maximum of five minions slots per each side. Board made from A3 paper (Energy on bottom left and upper right corner. Life on bottom right and upper left corner. Place cards in the middle. Write card stats in the bottom middle for both sides). If a summoning effect would place a minion on a full board, the effect is wasted. Board is mirrored, meaning: Slot 1 on your side is directly opposite Slot 1 on your opponent's side. </t>
  </si>
  <si>
    <t>Draw rules: Draw 4 cards (5 for the second player). You may mulligan any number of them once: set them aside, draw replacements, then shuffle the set-aside cards back into the deck. The second player draws 5 cards plus receives the Coin, starting with 6 cards total in hand. The coin gives +1 mana this turn only, after use, it is removed from the game permanently. The starting player is chosen randomly. At the start of each turn, you draw two cards each turn and CHOOSE ONE to keep. The second one gets put to the bottom of the pile. Players can have up to 10 cards in hand; drawing beyond that burns the new card. Both players draw from a single deck. If a player must draw but the deck is empty, that player takes 1 HDMG (increasing by 1 for each subsequent empty-draw that game).</t>
  </si>
  <si>
    <t>Effect draws (from card text) always draw exactly the stated number of cards directly to hand — they bypass the draw-2-keep-1 start-of-turn rule. The draw-2-keep-1 only applies to the mandatory start-of-turn draw</t>
  </si>
  <si>
    <t>Decks: Both players share a single pre-built deck containing all 175 cards, with one copy of each. No deck construction is required — the full card pool is always used.</t>
  </si>
  <si>
    <t>Mana System: Players start with 1 Mana. Each turn, you gain +1 Mana (up to 10). Mana resets after each turn.</t>
  </si>
  <si>
    <t>Combat rules: Attacker deals damage -&gt; Defender deals counterattack unless defender is Frozen/has special text. When Health ≤ 0, the minion dies and goes to the graveyard pool. No minion can act the same turn it’s summoned.</t>
  </si>
  <si>
    <t>Ascension Relics: are powerful cards which are in their own separate “deck” of cards. They are equip-style upgrades which can target minions on the board. They grant a powerful upgrade. If the minion dies, the Relic is destroyed with them. The Relics are not transferable. Relics go to hand allowing you to choose which minion to equip it on. You can stack ascension relics on the same minion. The relic deck contains only 1 copy of each relic. When the Relic deck is empty, any effect that generates an Ascension Relic is wasted.</t>
  </si>
  <si>
    <t>HDMG: Each player starts with 25 HHP (Hero Health points). At the start of a player’s turn, each minion that was on the board since the start of the previous turn deals 1 Hero Damage to the opposing hero. Minions summoned during the current turn do not deal HDMG until the following turn. Multiple minions HDMG stacks (example: 3 minions would do 3 HDMG to opposing player in total in one turn). Even minions with 0 ATK (such as Bigfoot) deal 1 HDMG.</t>
  </si>
  <si>
    <t>Turn order: 1) HDMG from the opponent's minions, 2) Draw and keep one card, 3) Mana refreshes, 4) All your “Ongoing” triggers in order of play, (meaning, that for example, if Illumi steals a minion for a turn, they won’t do HDMG because the Illumi Ongoing effects triggers after HDMG is triggered for the turn). 5) Player takes actions.</t>
  </si>
  <si>
    <t>Keywords (listed in order of which effect takes place first if they all happen at one time)</t>
  </si>
  <si>
    <t>The Coin: A non-minion card given exclusively to the second player at game start. It grants +1 Mana for one turn and is then removed from the game permanently. The Coin is not a minion and cannot be targeted by minion-affecting effects.</t>
  </si>
  <si>
    <t>Chained: Card cannot attack or be attacked for 1 additional turn after being played. A minion does no HDMG while it is chained. A Chained minion's Ongoing does not trigger until the turn after the Chain ends</t>
  </si>
  <si>
    <t>Silence: Removes all effects and buffs from a minion.</t>
  </si>
  <si>
    <t>Freeze: Freeze lasts until the start of the frozen minion's controller's next turn, at which point it thaws. A minion that is frozen cannot attack and does no HDMG (Hero Damage). Freeze is not damage and thus bypasses Divine Shield.</t>
  </si>
  <si>
    <t>Passive: Active at all times while the minion is on the board and not silenced.</t>
  </si>
  <si>
    <t>Ongoing: The minion’s Ongoing triggers at the start of YOUR NEXT turn, after you have placed the said minion, IF the minion survives till then. The Ongoing can trigger endless amounts of times, each time at the start of your turn, as long as the minion survives. This enables strategic play, and makes for tough decisions, “Which minion can I let survive and which one I MUST kill now”. For example: T-1000 heals fully at the start of EVERY one of your turns, not just the first. Ongoing effects trigger in order of board placement (oldest first). Effects of minions that die during Ongoing resolution do not resolve.</t>
  </si>
  <si>
    <t>Taunt: Enemy minions can only attack this minion. If a minion with Taunt becomes Invulnerable, the Taunt is suspended while Invulnerability lasts. When multiple enemy minions have Taunt, the attacking player may choose which Taunt minion to attack.</t>
  </si>
  <si>
    <t>Divine Shield: Minion ignores first hit of DMG. Destroy effects (from card text) bypass Divine Shield.</t>
  </si>
  <si>
    <t>Invulnerable: The minion cannot be damaged. It can still be silenced or frozen. Invulnerable minions cannot be destroyed by effects.</t>
  </si>
  <si>
    <t>Opposing side board slot: the slot directly across from this minion. If that slot is empty, the passive has no target.</t>
  </si>
  <si>
    <t>Adjacent board slot: the slots immediately to the left and right of the minion’s slot. Corner slots only have one adjacent neighbor.</t>
  </si>
  <si>
    <t>Baseline "rate" for stat-to-cost (similar to Hearthstone) is: A vanilla minion should have ATK + HP ≈ 2× its mana cost. So a 4-mana vanilla should be around 4/5 or 5/4. Full stat minions are almost nonexistent - effects are the key power and focus of the game. All stat changes (buffs and debuffs) are permanent unless explicitly stated otherwise on the card.</t>
  </si>
  <si>
    <t>Stolen minions: Minions stolen for a single turn (e.g., via Illumi or Lelouch) never deal HDMG during that borrowed turn, regardless of whose turn it is</t>
  </si>
  <si>
    <t>By Rarity</t>
  </si>
  <si>
    <t>By Mana Cost</t>
  </si>
  <si>
    <t>10 MANA</t>
  </si>
  <si>
    <t>9 MANA</t>
  </si>
  <si>
    <t>8 MANA</t>
  </si>
  <si>
    <t>7 MANA</t>
  </si>
  <si>
    <t>Total</t>
  </si>
  <si>
    <t>6 MANA</t>
  </si>
  <si>
    <t>5 MANA</t>
  </si>
  <si>
    <t>By Camp</t>
  </si>
  <si>
    <t>4 MANA</t>
  </si>
  <si>
    <t>3 MANA</t>
  </si>
  <si>
    <t>2 MANA</t>
  </si>
  <si>
    <t>1 MANA</t>
  </si>
  <si>
    <t>Readiness</t>
  </si>
  <si>
    <t>By Alignment</t>
  </si>
  <si>
    <t>Ready (✅)</t>
  </si>
  <si>
    <t>Needs work</t>
  </si>
  <si>
    <t>Unmarked</t>
  </si>
  <si>
    <t>Totals</t>
  </si>
  <si>
    <t>Cards</t>
  </si>
  <si>
    <t>Relics</t>
  </si>
  <si>
    <t>Terminator</t>
  </si>
</sst>
</file>

<file path=xl/styles.xml><?xml version="1.0" encoding="utf-8"?>
<styleSheet xmlns="http://schemas.openxmlformats.org/spreadsheetml/2006/main" xmlns:x14ac="http://schemas.microsoft.com/office/spreadsheetml/2009/9/ac" xmlns:mc="http://schemas.openxmlformats.org/markup-compatibility/2006">
  <fonts count="12">
    <font>
      <sz val="11.0"/>
      <color theme="1"/>
      <name val="Calibri"/>
      <scheme val="minor"/>
    </font>
    <font>
      <b/>
      <sz val="11.0"/>
      <color rgb="FFFFFFFF"/>
      <name val="Calibri"/>
      <scheme val="minor"/>
    </font>
    <font>
      <sz val="11.0"/>
      <color theme="1"/>
      <name val="Calibri"/>
    </font>
    <font>
      <b/>
      <color theme="1"/>
      <name val="Calibri"/>
      <scheme val="minor"/>
    </font>
    <font>
      <b/>
      <color rgb="FFFFFFFF"/>
      <name val="Calibri"/>
      <scheme val="minor"/>
    </font>
    <font>
      <b/>
      <color rgb="FF000000"/>
      <name val="Calibri"/>
      <scheme val="minor"/>
    </font>
    <font>
      <b/>
      <sz val="16.0"/>
      <color rgb="FF111827"/>
      <name val="Calibri"/>
      <scheme val="minor"/>
    </font>
    <font>
      <b/>
      <sz val="12.0"/>
      <color rgb="FF1F2937"/>
      <name val="Calibri"/>
      <scheme val="minor"/>
    </font>
    <font>
      <b/>
      <sz val="12.0"/>
      <color rgb="FFFFFFFF"/>
      <name val="Calibri"/>
      <scheme val="minor"/>
    </font>
    <font>
      <b/>
      <i/>
      <color theme="1"/>
      <name val="Calibri"/>
      <scheme val="minor"/>
    </font>
    <font>
      <b/>
      <sz val="12.0"/>
      <color theme="1"/>
      <name val="Calibri"/>
      <scheme val="minor"/>
    </font>
    <font>
      <color theme="1"/>
      <name val="Calibri"/>
      <scheme val="minor"/>
    </font>
  </fonts>
  <fills count="14">
    <fill>
      <patternFill patternType="none"/>
    </fill>
    <fill>
      <patternFill patternType="lightGray"/>
    </fill>
    <fill>
      <patternFill patternType="solid">
        <fgColor rgb="FF1F2937"/>
        <bgColor rgb="FF1F2937"/>
      </patternFill>
    </fill>
    <fill>
      <patternFill patternType="solid">
        <fgColor rgb="FFC00000"/>
        <bgColor rgb="FFC00000"/>
      </patternFill>
    </fill>
    <fill>
      <patternFill patternType="solid">
        <fgColor rgb="FFD6E4F0"/>
        <bgColor rgb="FFD6E4F0"/>
      </patternFill>
    </fill>
    <fill>
      <patternFill patternType="solid">
        <fgColor rgb="FFDEEBF7"/>
        <bgColor rgb="FFDEEBF7"/>
      </patternFill>
    </fill>
    <fill>
      <patternFill patternType="solid">
        <fgColor rgb="FFDDEFD9"/>
        <bgColor rgb="FFDDEFD9"/>
      </patternFill>
    </fill>
    <fill>
      <patternFill patternType="solid">
        <fgColor rgb="FFFFC000"/>
        <bgColor rgb="FFFFC000"/>
      </patternFill>
    </fill>
    <fill>
      <patternFill patternType="solid">
        <fgColor rgb="FFE4D6F0"/>
        <bgColor rgb="FFE4D6F0"/>
      </patternFill>
    </fill>
    <fill>
      <patternFill patternType="solid">
        <fgColor rgb="FFFCE4E4"/>
        <bgColor rgb="FFFCE4E4"/>
      </patternFill>
    </fill>
    <fill>
      <patternFill patternType="solid">
        <fgColor rgb="FFF2F2F2"/>
        <bgColor rgb="FFF2F2F2"/>
      </patternFill>
    </fill>
    <fill>
      <patternFill patternType="solid">
        <fgColor rgb="FF7030A0"/>
        <bgColor rgb="FF7030A0"/>
      </patternFill>
    </fill>
    <fill>
      <patternFill patternType="solid">
        <fgColor rgb="FF404040"/>
        <bgColor rgb="FF404040"/>
      </patternFill>
    </fill>
    <fill>
      <patternFill patternType="solid">
        <fgColor rgb="FFF3F4F6"/>
        <bgColor rgb="FFF3F4F6"/>
      </patternFill>
    </fill>
  </fills>
  <borders count="3">
    <border/>
    <border>
      <left style="thin">
        <color rgb="FFC0C0C0"/>
      </left>
      <right style="thin">
        <color rgb="FFC0C0C0"/>
      </right>
      <top style="thin">
        <color rgb="FFC0C0C0"/>
      </top>
      <bottom style="thin">
        <color rgb="FFC0C0C0"/>
      </bottom>
    </border>
    <border>
      <left/>
      <right/>
      <top/>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0" fontId="2" numFmtId="0" xfId="0" applyAlignment="1" applyBorder="1" applyFont="1">
      <alignment horizontal="center" vertical="center"/>
    </xf>
    <xf borderId="1" fillId="0" fontId="3" numFmtId="0" xfId="0" applyAlignment="1" applyBorder="1" applyFont="1">
      <alignment vertical="center"/>
    </xf>
    <xf borderId="1" fillId="3" fontId="4" numFmtId="0" xfId="0" applyAlignment="1" applyBorder="1" applyFill="1" applyFont="1">
      <alignment horizontal="center" vertical="center"/>
    </xf>
    <xf borderId="1" fillId="4" fontId="2" numFmtId="0" xfId="0" applyAlignment="1" applyBorder="1" applyFill="1" applyFont="1">
      <alignment horizontal="center" vertical="center"/>
    </xf>
    <xf borderId="1" fillId="5" fontId="2" numFmtId="0" xfId="0" applyAlignment="1" applyBorder="1" applyFill="1" applyFont="1">
      <alignment horizontal="center" vertical="center"/>
    </xf>
    <xf borderId="1" fillId="0" fontId="2" numFmtId="0" xfId="0" applyAlignment="1" applyBorder="1" applyFont="1">
      <alignment shrinkToFit="0" vertical="top" wrapText="1"/>
    </xf>
    <xf borderId="1" fillId="0" fontId="2" numFmtId="0" xfId="0" applyAlignment="1" applyBorder="1" applyFont="1">
      <alignment vertical="center"/>
    </xf>
    <xf borderId="1" fillId="6" fontId="2" numFmtId="0" xfId="0" applyAlignment="1" applyBorder="1" applyFill="1" applyFont="1">
      <alignment horizontal="center" vertical="center"/>
    </xf>
    <xf borderId="1" fillId="7" fontId="5" numFmtId="0" xfId="0" applyAlignment="1" applyBorder="1" applyFill="1" applyFont="1">
      <alignment horizontal="center" vertical="center"/>
    </xf>
    <xf borderId="1" fillId="8" fontId="2" numFmtId="0" xfId="0" applyAlignment="1" applyBorder="1" applyFill="1" applyFont="1">
      <alignment horizontal="center" vertical="center"/>
    </xf>
    <xf borderId="1" fillId="9" fontId="2" numFmtId="0" xfId="0" applyAlignment="1" applyBorder="1" applyFill="1" applyFont="1">
      <alignment horizontal="center" vertical="center"/>
    </xf>
    <xf borderId="1" fillId="10" fontId="2" numFmtId="0" xfId="0" applyAlignment="1" applyBorder="1" applyFill="1" applyFont="1">
      <alignment horizontal="center" vertical="center"/>
    </xf>
    <xf borderId="1" fillId="11" fontId="4" numFmtId="0" xfId="0" applyAlignment="1" applyBorder="1" applyFill="1" applyFont="1">
      <alignment horizontal="center" vertical="center"/>
    </xf>
    <xf borderId="1" fillId="12" fontId="4" numFmtId="0" xfId="0" applyAlignment="1" applyBorder="1" applyFill="1" applyFont="1">
      <alignment horizontal="center" vertical="center"/>
    </xf>
    <xf borderId="1" fillId="0" fontId="2" numFmtId="0" xfId="0" applyAlignment="1" applyBorder="1" applyFont="1">
      <alignment horizontal="center"/>
    </xf>
    <xf borderId="1" fillId="0" fontId="3" numFmtId="0" xfId="0" applyBorder="1" applyFont="1"/>
    <xf borderId="1" fillId="0" fontId="2" numFmtId="0" xfId="0" applyAlignment="1" applyBorder="1" applyFont="1">
      <alignment vertical="top"/>
    </xf>
    <xf borderId="0" fillId="0" fontId="6" numFmtId="0" xfId="0" applyFont="1"/>
    <xf borderId="2" fillId="13" fontId="7" numFmtId="0" xfId="0" applyAlignment="1" applyBorder="1" applyFill="1" applyFont="1">
      <alignment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2" fillId="2" fontId="8" numFmtId="0" xfId="0" applyAlignment="1" applyBorder="1" applyFont="1">
      <alignment horizontal="center"/>
    </xf>
    <xf borderId="0" fillId="0" fontId="3" numFmtId="0" xfId="0" applyFont="1"/>
    <xf borderId="0" fillId="0" fontId="2" numFmtId="0" xfId="0" applyAlignment="1" applyFont="1">
      <alignment horizontal="center"/>
    </xf>
    <xf borderId="0" fillId="0" fontId="9" numFmtId="0" xfId="0" applyFont="1"/>
    <xf borderId="0" fillId="0" fontId="3" numFmtId="0" xfId="0" applyAlignment="1" applyFont="1">
      <alignment horizontal="center"/>
    </xf>
    <xf borderId="2" fillId="8" fontId="3" numFmtId="0" xfId="0" applyBorder="1" applyFont="1"/>
    <xf borderId="2" fillId="4" fontId="3" numFmtId="0" xfId="0" applyBorder="1" applyFont="1"/>
    <xf borderId="2" fillId="6" fontId="3" numFmtId="0" xfId="0" applyBorder="1" applyFont="1"/>
    <xf borderId="2" fillId="5" fontId="3" numFmtId="0" xfId="0" applyBorder="1" applyFont="1"/>
    <xf borderId="2" fillId="9" fontId="3" numFmtId="0" xfId="0" applyBorder="1" applyFont="1"/>
    <xf borderId="2" fillId="10" fontId="3" numFmtId="0" xfId="0" applyBorder="1" applyFont="1"/>
    <xf borderId="0" fillId="0" fontId="10" numFmtId="0" xfId="0" applyFont="1"/>
    <xf borderId="0" fillId="0" fontId="11" numFmtId="0" xfId="0" applyFont="1"/>
  </cellXfs>
  <cellStyles count="1">
    <cellStyle xfId="0" name="Normal" builtinId="0"/>
  </cellStyles>
  <dxfs count="1">
    <dxf>
      <font/>
      <fill>
        <patternFill patternType="solid">
          <fgColor rgb="FFFAFAFA"/>
          <bgColor rgb="FFFAFAFA"/>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10.86"/>
    <col customWidth="1" min="2" max="2" width="32.0"/>
    <col customWidth="1" min="3" max="3" width="10.0"/>
    <col customWidth="1" min="4" max="4" width="9.0"/>
    <col customWidth="1" min="5" max="5" width="8.43"/>
    <col customWidth="1" min="6" max="6" width="14.14"/>
    <col customWidth="1" min="7" max="7" width="12.14"/>
    <col customWidth="1" min="8" max="8" width="15.14"/>
    <col customWidth="1" min="9" max="9" width="55.0"/>
    <col customWidth="1" min="10" max="10" width="40.0"/>
    <col customWidth="1" min="11" max="11" width="22.0"/>
    <col customWidth="1" min="12" max="12" width="17.0"/>
    <col customWidth="1" min="13" max="26" width="8.71"/>
  </cols>
  <sheetData>
    <row r="1">
      <c r="A1" s="1" t="s">
        <v>0</v>
      </c>
      <c r="B1" s="1" t="s">
        <v>1</v>
      </c>
      <c r="C1" s="1" t="s">
        <v>2</v>
      </c>
      <c r="D1" s="1" t="s">
        <v>3</v>
      </c>
      <c r="E1" s="1" t="s">
        <v>4</v>
      </c>
      <c r="F1" s="1" t="s">
        <v>5</v>
      </c>
      <c r="G1" s="1" t="s">
        <v>6</v>
      </c>
      <c r="H1" s="1" t="s">
        <v>7</v>
      </c>
      <c r="I1" s="1" t="s">
        <v>8</v>
      </c>
      <c r="J1" s="1" t="s">
        <v>9</v>
      </c>
      <c r="K1" s="1" t="s">
        <v>10</v>
      </c>
      <c r="L1" s="1" t="s">
        <v>11</v>
      </c>
    </row>
    <row r="2" ht="42.0" customHeight="1">
      <c r="A2" s="2">
        <v>10.0</v>
      </c>
      <c r="B2" s="3" t="s">
        <v>12</v>
      </c>
      <c r="C2" s="2" t="s">
        <v>13</v>
      </c>
      <c r="D2" s="2">
        <v>5.0</v>
      </c>
      <c r="E2" s="2">
        <v>8.0</v>
      </c>
      <c r="F2" s="4" t="s">
        <v>14</v>
      </c>
      <c r="G2" s="5" t="s">
        <v>15</v>
      </c>
      <c r="H2" s="6" t="s">
        <v>16</v>
      </c>
      <c r="I2" s="7" t="s">
        <v>17</v>
      </c>
      <c r="J2" s="7" t="s">
        <v>18</v>
      </c>
      <c r="K2" s="8" t="s">
        <v>19</v>
      </c>
      <c r="L2" s="2" t="s">
        <v>20</v>
      </c>
    </row>
    <row r="3" ht="42.0" customHeight="1">
      <c r="A3" s="2">
        <v>10.0</v>
      </c>
      <c r="B3" s="3" t="s">
        <v>21</v>
      </c>
      <c r="C3" s="2" t="s">
        <v>22</v>
      </c>
      <c r="D3" s="2">
        <v>8.0</v>
      </c>
      <c r="E3" s="2">
        <v>8.0</v>
      </c>
      <c r="F3" s="4" t="s">
        <v>14</v>
      </c>
      <c r="G3" s="9" t="s">
        <v>23</v>
      </c>
      <c r="H3" s="6" t="s">
        <v>16</v>
      </c>
      <c r="I3" s="7" t="s">
        <v>24</v>
      </c>
      <c r="J3" s="7" t="s">
        <v>25</v>
      </c>
      <c r="K3" s="8" t="s">
        <v>26</v>
      </c>
      <c r="L3" s="2" t="s">
        <v>20</v>
      </c>
    </row>
    <row r="4" ht="42.0" customHeight="1">
      <c r="A4" s="2">
        <v>10.0</v>
      </c>
      <c r="B4" s="3" t="s">
        <v>27</v>
      </c>
      <c r="C4" s="2" t="s">
        <v>28</v>
      </c>
      <c r="D4" s="2">
        <v>7.0</v>
      </c>
      <c r="E4" s="2">
        <v>7.0</v>
      </c>
      <c r="F4" s="10" t="s">
        <v>29</v>
      </c>
      <c r="G4" s="11" t="s">
        <v>30</v>
      </c>
      <c r="H4" s="12" t="s">
        <v>31</v>
      </c>
      <c r="I4" s="7" t="s">
        <v>32</v>
      </c>
      <c r="J4" s="7" t="s">
        <v>33</v>
      </c>
      <c r="K4" s="8" t="s">
        <v>34</v>
      </c>
      <c r="L4" s="2" t="s">
        <v>20</v>
      </c>
    </row>
    <row r="5" ht="42.0" customHeight="1">
      <c r="A5" s="2">
        <v>10.0</v>
      </c>
      <c r="B5" s="3" t="s">
        <v>35</v>
      </c>
      <c r="C5" s="2" t="s">
        <v>36</v>
      </c>
      <c r="D5" s="2">
        <v>4.0</v>
      </c>
      <c r="E5" s="2">
        <v>6.0</v>
      </c>
      <c r="F5" s="10" t="s">
        <v>29</v>
      </c>
      <c r="G5" s="11" t="s">
        <v>30</v>
      </c>
      <c r="H5" s="13" t="s">
        <v>37</v>
      </c>
      <c r="I5" s="7" t="s">
        <v>38</v>
      </c>
      <c r="J5" s="7" t="s">
        <v>39</v>
      </c>
      <c r="K5" s="8" t="s">
        <v>54</v>
      </c>
      <c r="L5" s="2" t="s">
        <v>20</v>
      </c>
    </row>
    <row r="6" ht="42.0" customHeight="1">
      <c r="A6" s="2">
        <v>10.0</v>
      </c>
      <c r="B6" s="3" t="s">
        <v>41</v>
      </c>
      <c r="C6" s="2" t="s">
        <v>36</v>
      </c>
      <c r="D6" s="2">
        <v>4.0</v>
      </c>
      <c r="E6" s="2">
        <v>6.0</v>
      </c>
      <c r="F6" s="10" t="s">
        <v>29</v>
      </c>
      <c r="G6" s="11" t="s">
        <v>30</v>
      </c>
      <c r="H6" s="13" t="s">
        <v>37</v>
      </c>
      <c r="I6" s="7" t="s">
        <v>42</v>
      </c>
      <c r="J6" s="7" t="s">
        <v>43</v>
      </c>
      <c r="K6" s="8" t="s">
        <v>44</v>
      </c>
      <c r="L6" s="2" t="s">
        <v>20</v>
      </c>
    </row>
    <row r="7" ht="42.0" customHeight="1">
      <c r="A7" s="2">
        <v>10.0</v>
      </c>
      <c r="B7" s="3" t="s">
        <v>45</v>
      </c>
      <c r="C7" s="2" t="s">
        <v>46</v>
      </c>
      <c r="D7" s="2">
        <v>5.0</v>
      </c>
      <c r="E7" s="2">
        <v>7.0</v>
      </c>
      <c r="F7" s="10" t="s">
        <v>29</v>
      </c>
      <c r="G7" s="11" t="s">
        <v>30</v>
      </c>
      <c r="H7" s="12" t="s">
        <v>31</v>
      </c>
      <c r="I7" s="7" t="s">
        <v>47</v>
      </c>
      <c r="J7" s="7" t="s">
        <v>48</v>
      </c>
      <c r="K7" s="8" t="s">
        <v>40</v>
      </c>
      <c r="L7" s="2" t="s">
        <v>20</v>
      </c>
    </row>
    <row r="8" ht="42.0" customHeight="1">
      <c r="A8" s="2">
        <v>10.0</v>
      </c>
      <c r="B8" s="3" t="s">
        <v>49</v>
      </c>
      <c r="C8" s="2" t="s">
        <v>50</v>
      </c>
      <c r="D8" s="2">
        <v>3.0</v>
      </c>
      <c r="E8" s="2">
        <v>7.0</v>
      </c>
      <c r="F8" s="14" t="s">
        <v>51</v>
      </c>
      <c r="G8" s="9" t="s">
        <v>23</v>
      </c>
      <c r="H8" s="13" t="s">
        <v>37</v>
      </c>
      <c r="I8" s="7" t="s">
        <v>52</v>
      </c>
      <c r="J8" s="7" t="s">
        <v>53</v>
      </c>
      <c r="K8" s="8" t="s">
        <v>54</v>
      </c>
      <c r="L8" s="2" t="s">
        <v>20</v>
      </c>
    </row>
    <row r="9" ht="42.0" customHeight="1">
      <c r="A9" s="2">
        <v>10.0</v>
      </c>
      <c r="B9" s="3" t="s">
        <v>55</v>
      </c>
      <c r="C9" s="2" t="s">
        <v>28</v>
      </c>
      <c r="D9" s="2">
        <v>7.0</v>
      </c>
      <c r="E9" s="2">
        <v>7.0</v>
      </c>
      <c r="F9" s="14" t="s">
        <v>51</v>
      </c>
      <c r="G9" s="11" t="s">
        <v>30</v>
      </c>
      <c r="H9" s="6" t="s">
        <v>16</v>
      </c>
      <c r="I9" s="7" t="s">
        <v>56</v>
      </c>
      <c r="J9" s="7" t="s">
        <v>57</v>
      </c>
      <c r="K9" s="8" t="s">
        <v>58</v>
      </c>
      <c r="L9" s="2" t="s">
        <v>20</v>
      </c>
    </row>
    <row r="10" ht="42.0" customHeight="1">
      <c r="A10" s="2">
        <v>10.0</v>
      </c>
      <c r="B10" s="3" t="s">
        <v>59</v>
      </c>
      <c r="C10" s="2" t="s">
        <v>60</v>
      </c>
      <c r="D10" s="2">
        <v>4.0</v>
      </c>
      <c r="E10" s="2">
        <v>10.0</v>
      </c>
      <c r="F10" s="14" t="s">
        <v>51</v>
      </c>
      <c r="G10" s="9" t="s">
        <v>23</v>
      </c>
      <c r="H10" s="13" t="s">
        <v>37</v>
      </c>
      <c r="I10" s="7" t="s">
        <v>61</v>
      </c>
      <c r="J10" s="7" t="s">
        <v>62</v>
      </c>
      <c r="K10" s="8" t="s">
        <v>63</v>
      </c>
      <c r="L10" s="2" t="s">
        <v>20</v>
      </c>
    </row>
    <row r="11" ht="42.0" customHeight="1">
      <c r="A11" s="2">
        <v>10.0</v>
      </c>
      <c r="B11" s="3" t="s">
        <v>64</v>
      </c>
      <c r="C11" s="2" t="s">
        <v>65</v>
      </c>
      <c r="D11" s="2">
        <v>6.0</v>
      </c>
      <c r="E11" s="2">
        <v>8.0</v>
      </c>
      <c r="F11" s="14" t="s">
        <v>51</v>
      </c>
      <c r="G11" s="11" t="s">
        <v>30</v>
      </c>
      <c r="H11" s="13" t="s">
        <v>37</v>
      </c>
      <c r="I11" s="7" t="s">
        <v>66</v>
      </c>
      <c r="J11" s="7" t="s">
        <v>67</v>
      </c>
      <c r="K11" s="8" t="s">
        <v>40</v>
      </c>
      <c r="L11" s="2" t="s">
        <v>20</v>
      </c>
    </row>
    <row r="12" ht="42.0" customHeight="1">
      <c r="A12" s="2">
        <v>9.0</v>
      </c>
      <c r="B12" s="3" t="s">
        <v>68</v>
      </c>
      <c r="C12" s="2" t="s">
        <v>28</v>
      </c>
      <c r="D12" s="2">
        <v>7.0</v>
      </c>
      <c r="E12" s="2">
        <v>7.0</v>
      </c>
      <c r="F12" s="4" t="s">
        <v>14</v>
      </c>
      <c r="G12" s="11" t="s">
        <v>30</v>
      </c>
      <c r="H12" s="6" t="s">
        <v>16</v>
      </c>
      <c r="I12" s="7" t="s">
        <v>69</v>
      </c>
      <c r="J12" s="7" t="s">
        <v>70</v>
      </c>
      <c r="K12" s="8" t="s">
        <v>71</v>
      </c>
      <c r="L12" s="2" t="s">
        <v>20</v>
      </c>
    </row>
    <row r="13" ht="42.0" customHeight="1">
      <c r="A13" s="2">
        <v>9.0</v>
      </c>
      <c r="B13" s="3" t="s">
        <v>72</v>
      </c>
      <c r="C13" s="2" t="s">
        <v>73</v>
      </c>
      <c r="D13" s="2">
        <v>1.0</v>
      </c>
      <c r="E13" s="2">
        <v>8.0</v>
      </c>
      <c r="F13" s="4" t="s">
        <v>14</v>
      </c>
      <c r="G13" s="11" t="s">
        <v>30</v>
      </c>
      <c r="H13" s="13" t="s">
        <v>37</v>
      </c>
      <c r="I13" s="7" t="s">
        <v>74</v>
      </c>
      <c r="J13" s="7" t="s">
        <v>75</v>
      </c>
      <c r="K13" s="8" t="s">
        <v>76</v>
      </c>
      <c r="L13" s="2" t="s">
        <v>20</v>
      </c>
    </row>
    <row r="14" ht="42.0" customHeight="1">
      <c r="A14" s="2">
        <v>9.0</v>
      </c>
      <c r="B14" s="3" t="s">
        <v>77</v>
      </c>
      <c r="C14" s="2" t="s">
        <v>78</v>
      </c>
      <c r="D14" s="2">
        <v>4.0</v>
      </c>
      <c r="E14" s="2">
        <v>8.0</v>
      </c>
      <c r="F14" s="10" t="s">
        <v>29</v>
      </c>
      <c r="G14" s="11" t="s">
        <v>30</v>
      </c>
      <c r="H14" s="13" t="s">
        <v>37</v>
      </c>
      <c r="I14" s="7" t="s">
        <v>79</v>
      </c>
      <c r="J14" s="7" t="s">
        <v>80</v>
      </c>
      <c r="K14" s="8" t="s">
        <v>81</v>
      </c>
      <c r="L14" s="2" t="s">
        <v>20</v>
      </c>
    </row>
    <row r="15" ht="42.0" customHeight="1">
      <c r="A15" s="2">
        <v>9.0</v>
      </c>
      <c r="B15" s="3" t="s">
        <v>82</v>
      </c>
      <c r="C15" s="2" t="s">
        <v>83</v>
      </c>
      <c r="D15" s="2">
        <v>5.0</v>
      </c>
      <c r="E15" s="2">
        <v>6.0</v>
      </c>
      <c r="F15" s="10" t="s">
        <v>29</v>
      </c>
      <c r="G15" s="11" t="s">
        <v>30</v>
      </c>
      <c r="H15" s="6" t="s">
        <v>16</v>
      </c>
      <c r="I15" s="7" t="s">
        <v>84</v>
      </c>
      <c r="J15" s="7" t="s">
        <v>85</v>
      </c>
      <c r="K15" s="8" t="s">
        <v>86</v>
      </c>
      <c r="L15" s="2" t="s">
        <v>20</v>
      </c>
    </row>
    <row r="16" ht="42.0" customHeight="1">
      <c r="A16" s="2">
        <v>9.0</v>
      </c>
      <c r="B16" s="3" t="s">
        <v>87</v>
      </c>
      <c r="C16" s="2" t="s">
        <v>88</v>
      </c>
      <c r="D16" s="2">
        <v>2.0</v>
      </c>
      <c r="E16" s="2">
        <v>7.0</v>
      </c>
      <c r="F16" s="10" t="s">
        <v>29</v>
      </c>
      <c r="G16" s="11" t="s">
        <v>30</v>
      </c>
      <c r="H16" s="6" t="s">
        <v>16</v>
      </c>
      <c r="I16" s="7" t="s">
        <v>89</v>
      </c>
      <c r="J16" s="7" t="s">
        <v>90</v>
      </c>
      <c r="K16" s="8" t="s">
        <v>91</v>
      </c>
      <c r="L16" s="2" t="s">
        <v>20</v>
      </c>
    </row>
    <row r="17" ht="42.0" customHeight="1">
      <c r="A17" s="2">
        <v>9.0</v>
      </c>
      <c r="B17" s="3" t="s">
        <v>92</v>
      </c>
      <c r="C17" s="2" t="s">
        <v>46</v>
      </c>
      <c r="D17" s="2">
        <v>5.0</v>
      </c>
      <c r="E17" s="2">
        <v>7.0</v>
      </c>
      <c r="F17" s="10" t="s">
        <v>29</v>
      </c>
      <c r="G17" s="11" t="s">
        <v>30</v>
      </c>
      <c r="H17" s="6" t="s">
        <v>16</v>
      </c>
      <c r="I17" s="7" t="s">
        <v>93</v>
      </c>
      <c r="J17" s="7" t="s">
        <v>94</v>
      </c>
      <c r="K17" s="8" t="s">
        <v>95</v>
      </c>
      <c r="L17" s="2" t="s">
        <v>20</v>
      </c>
    </row>
    <row r="18" ht="42.0" customHeight="1">
      <c r="A18" s="2">
        <v>9.0</v>
      </c>
      <c r="B18" s="3" t="s">
        <v>96</v>
      </c>
      <c r="C18" s="2" t="s">
        <v>97</v>
      </c>
      <c r="D18" s="2">
        <v>5.0</v>
      </c>
      <c r="E18" s="2">
        <v>5.0</v>
      </c>
      <c r="F18" s="14" t="s">
        <v>51</v>
      </c>
      <c r="G18" s="11" t="s">
        <v>30</v>
      </c>
      <c r="H18" s="12" t="s">
        <v>31</v>
      </c>
      <c r="I18" s="7" t="s">
        <v>98</v>
      </c>
      <c r="J18" s="7" t="s">
        <v>99</v>
      </c>
      <c r="K18" s="8" t="s">
        <v>100</v>
      </c>
      <c r="L18" s="2" t="s">
        <v>20</v>
      </c>
    </row>
    <row r="19" ht="42.0" customHeight="1">
      <c r="A19" s="2">
        <v>9.0</v>
      </c>
      <c r="B19" s="3" t="s">
        <v>101</v>
      </c>
      <c r="C19" s="2" t="s">
        <v>65</v>
      </c>
      <c r="D19" s="2">
        <v>6.0</v>
      </c>
      <c r="E19" s="2">
        <v>8.0</v>
      </c>
      <c r="F19" s="14" t="s">
        <v>51</v>
      </c>
      <c r="G19" s="5" t="s">
        <v>15</v>
      </c>
      <c r="H19" s="12" t="s">
        <v>31</v>
      </c>
      <c r="I19" s="7" t="s">
        <v>102</v>
      </c>
      <c r="J19" s="7" t="s">
        <v>103</v>
      </c>
      <c r="K19" s="8" t="s">
        <v>26</v>
      </c>
      <c r="L19" s="2" t="s">
        <v>20</v>
      </c>
    </row>
    <row r="20" ht="42.0" customHeight="1">
      <c r="A20" s="2">
        <v>9.0</v>
      </c>
      <c r="B20" s="3" t="s">
        <v>104</v>
      </c>
      <c r="C20" s="2" t="s">
        <v>105</v>
      </c>
      <c r="D20" s="2">
        <v>3.0</v>
      </c>
      <c r="E20" s="2">
        <v>6.0</v>
      </c>
      <c r="F20" s="14" t="s">
        <v>51</v>
      </c>
      <c r="G20" s="9" t="s">
        <v>23</v>
      </c>
      <c r="H20" s="12" t="s">
        <v>31</v>
      </c>
      <c r="I20" s="7" t="s">
        <v>106</v>
      </c>
      <c r="J20" s="7" t="s">
        <v>107</v>
      </c>
      <c r="K20" s="8" t="s">
        <v>108</v>
      </c>
      <c r="L20" s="2" t="s">
        <v>20</v>
      </c>
    </row>
    <row r="21" ht="42.0" customHeight="1">
      <c r="A21" s="2">
        <v>9.0</v>
      </c>
      <c r="B21" s="3" t="s">
        <v>109</v>
      </c>
      <c r="C21" s="2" t="s">
        <v>110</v>
      </c>
      <c r="D21" s="2">
        <v>6.0</v>
      </c>
      <c r="E21" s="2">
        <v>6.0</v>
      </c>
      <c r="F21" s="14" t="s">
        <v>51</v>
      </c>
      <c r="G21" s="11" t="s">
        <v>30</v>
      </c>
      <c r="H21" s="12" t="s">
        <v>31</v>
      </c>
      <c r="I21" s="7" t="s">
        <v>111</v>
      </c>
      <c r="J21" s="7" t="s">
        <v>112</v>
      </c>
      <c r="K21" s="8" t="s">
        <v>40</v>
      </c>
      <c r="L21" s="2" t="s">
        <v>20</v>
      </c>
    </row>
    <row r="22" ht="42.0" customHeight="1">
      <c r="A22" s="2">
        <v>9.0</v>
      </c>
      <c r="B22" s="3" t="s">
        <v>113</v>
      </c>
      <c r="C22" s="2" t="s">
        <v>110</v>
      </c>
      <c r="D22" s="2">
        <v>6.0</v>
      </c>
      <c r="E22" s="2">
        <v>6.0</v>
      </c>
      <c r="F22" s="14" t="s">
        <v>51</v>
      </c>
      <c r="G22" s="11" t="s">
        <v>30</v>
      </c>
      <c r="H22" s="6" t="s">
        <v>16</v>
      </c>
      <c r="I22" s="7" t="s">
        <v>114</v>
      </c>
      <c r="J22" s="7" t="s">
        <v>115</v>
      </c>
      <c r="K22" s="8" t="s">
        <v>113</v>
      </c>
      <c r="L22" s="2" t="s">
        <v>20</v>
      </c>
    </row>
    <row r="23" ht="42.0" customHeight="1">
      <c r="A23" s="2">
        <v>9.0</v>
      </c>
      <c r="B23" s="3" t="s">
        <v>116</v>
      </c>
      <c r="C23" s="2" t="s">
        <v>78</v>
      </c>
      <c r="D23" s="2">
        <v>4.0</v>
      </c>
      <c r="E23" s="2">
        <v>8.0</v>
      </c>
      <c r="F23" s="14" t="s">
        <v>51</v>
      </c>
      <c r="G23" s="11" t="s">
        <v>30</v>
      </c>
      <c r="H23" s="6" t="s">
        <v>16</v>
      </c>
      <c r="I23" s="7" t="s">
        <v>117</v>
      </c>
      <c r="J23" s="7" t="s">
        <v>118</v>
      </c>
      <c r="K23" s="8" t="s">
        <v>19</v>
      </c>
      <c r="L23" s="2" t="s">
        <v>20</v>
      </c>
    </row>
    <row r="24" ht="42.0" customHeight="1">
      <c r="A24" s="2">
        <v>9.0</v>
      </c>
      <c r="B24" s="3" t="s">
        <v>119</v>
      </c>
      <c r="C24" s="2" t="s">
        <v>120</v>
      </c>
      <c r="D24" s="2">
        <v>9.0</v>
      </c>
      <c r="E24" s="2">
        <v>9.0</v>
      </c>
      <c r="F24" s="15" t="s">
        <v>121</v>
      </c>
      <c r="G24" s="5" t="s">
        <v>15</v>
      </c>
      <c r="H24" s="13" t="s">
        <v>37</v>
      </c>
      <c r="I24" s="7" t="s">
        <v>122</v>
      </c>
      <c r="J24" s="7" t="s">
        <v>122</v>
      </c>
      <c r="K24" s="8" t="s">
        <v>123</v>
      </c>
      <c r="L24" s="2" t="s">
        <v>20</v>
      </c>
    </row>
    <row r="25" ht="42.0" customHeight="1">
      <c r="A25" s="2">
        <v>9.0</v>
      </c>
      <c r="B25" s="3" t="s">
        <v>124</v>
      </c>
      <c r="C25" s="2" t="s">
        <v>83</v>
      </c>
      <c r="D25" s="2">
        <v>5.0</v>
      </c>
      <c r="E25" s="2">
        <v>6.0</v>
      </c>
      <c r="F25" s="15" t="s">
        <v>121</v>
      </c>
      <c r="G25" s="9" t="s">
        <v>23</v>
      </c>
      <c r="H25" s="12" t="s">
        <v>31</v>
      </c>
      <c r="I25" s="7" t="s">
        <v>125</v>
      </c>
      <c r="J25" s="7" t="s">
        <v>126</v>
      </c>
      <c r="K25" s="8" t="s">
        <v>54</v>
      </c>
      <c r="L25" s="2" t="s">
        <v>20</v>
      </c>
    </row>
    <row r="26" ht="42.0" customHeight="1">
      <c r="A26" s="2">
        <v>9.0</v>
      </c>
      <c r="B26" s="3" t="s">
        <v>127</v>
      </c>
      <c r="C26" s="2" t="s">
        <v>128</v>
      </c>
      <c r="D26" s="2">
        <v>6.0</v>
      </c>
      <c r="E26" s="2">
        <v>7.0</v>
      </c>
      <c r="F26" s="15" t="s">
        <v>121</v>
      </c>
      <c r="G26" s="11" t="s">
        <v>30</v>
      </c>
      <c r="H26" s="12" t="s">
        <v>31</v>
      </c>
      <c r="I26" s="7" t="s">
        <v>129</v>
      </c>
      <c r="J26" s="7" t="s">
        <v>130</v>
      </c>
      <c r="K26" s="8" t="s">
        <v>131</v>
      </c>
      <c r="L26" s="2" t="s">
        <v>20</v>
      </c>
    </row>
    <row r="27" ht="42.0" customHeight="1">
      <c r="A27" s="2">
        <v>8.0</v>
      </c>
      <c r="B27" s="3" t="s">
        <v>132</v>
      </c>
      <c r="C27" s="2" t="s">
        <v>28</v>
      </c>
      <c r="D27" s="2">
        <v>7.0</v>
      </c>
      <c r="E27" s="2">
        <v>7.0</v>
      </c>
      <c r="F27" s="4" t="s">
        <v>14</v>
      </c>
      <c r="G27" s="11" t="s">
        <v>30</v>
      </c>
      <c r="H27" s="6" t="s">
        <v>16</v>
      </c>
      <c r="I27" s="7" t="s">
        <v>79</v>
      </c>
      <c r="J27" s="7" t="s">
        <v>133</v>
      </c>
      <c r="K27" s="8" t="s">
        <v>134</v>
      </c>
      <c r="L27" s="2" t="s">
        <v>20</v>
      </c>
    </row>
    <row r="28" ht="42.0" customHeight="1">
      <c r="A28" s="2">
        <v>8.0</v>
      </c>
      <c r="B28" s="3" t="s">
        <v>135</v>
      </c>
      <c r="C28" s="2" t="s">
        <v>97</v>
      </c>
      <c r="D28" s="2">
        <v>5.0</v>
      </c>
      <c r="E28" s="2">
        <v>5.0</v>
      </c>
      <c r="F28" s="4" t="s">
        <v>14</v>
      </c>
      <c r="G28" s="11" t="s">
        <v>30</v>
      </c>
      <c r="H28" s="12" t="s">
        <v>31</v>
      </c>
      <c r="I28" s="7" t="s">
        <v>136</v>
      </c>
      <c r="J28" s="7" t="s">
        <v>137</v>
      </c>
      <c r="K28" s="8" t="s">
        <v>134</v>
      </c>
      <c r="L28" s="2" t="s">
        <v>20</v>
      </c>
    </row>
    <row r="29" ht="42.0" customHeight="1">
      <c r="A29" s="2">
        <v>8.0</v>
      </c>
      <c r="B29" s="3" t="s">
        <v>138</v>
      </c>
      <c r="C29" s="2" t="s">
        <v>97</v>
      </c>
      <c r="D29" s="2">
        <v>5.0</v>
      </c>
      <c r="E29" s="2">
        <v>5.0</v>
      </c>
      <c r="F29" s="10" t="s">
        <v>29</v>
      </c>
      <c r="G29" s="11" t="s">
        <v>30</v>
      </c>
      <c r="H29" s="12" t="s">
        <v>31</v>
      </c>
      <c r="I29" s="7" t="s">
        <v>79</v>
      </c>
      <c r="J29" s="7" t="s">
        <v>139</v>
      </c>
      <c r="K29" s="8" t="s">
        <v>140</v>
      </c>
      <c r="L29" s="2" t="s">
        <v>20</v>
      </c>
    </row>
    <row r="30" ht="42.0" customHeight="1">
      <c r="A30" s="2">
        <v>8.0</v>
      </c>
      <c r="B30" s="3" t="s">
        <v>141</v>
      </c>
      <c r="C30" s="2" t="s">
        <v>65</v>
      </c>
      <c r="D30" s="2">
        <v>6.0</v>
      </c>
      <c r="E30" s="2">
        <v>8.0</v>
      </c>
      <c r="F30" s="10" t="s">
        <v>29</v>
      </c>
      <c r="G30" s="9" t="s">
        <v>23</v>
      </c>
      <c r="H30" s="12" t="s">
        <v>31</v>
      </c>
      <c r="I30" s="7" t="s">
        <v>142</v>
      </c>
      <c r="J30" s="7" t="s">
        <v>143</v>
      </c>
      <c r="K30" s="8" t="s">
        <v>134</v>
      </c>
      <c r="L30" s="2" t="s">
        <v>20</v>
      </c>
    </row>
    <row r="31" ht="42.0" customHeight="1">
      <c r="A31" s="2">
        <v>8.0</v>
      </c>
      <c r="B31" s="3" t="s">
        <v>144</v>
      </c>
      <c r="C31" s="2" t="s">
        <v>36</v>
      </c>
      <c r="D31" s="2">
        <v>4.0</v>
      </c>
      <c r="E31" s="2">
        <v>6.0</v>
      </c>
      <c r="F31" s="10" t="s">
        <v>29</v>
      </c>
      <c r="G31" s="9" t="s">
        <v>23</v>
      </c>
      <c r="H31" s="13" t="s">
        <v>37</v>
      </c>
      <c r="I31" s="7" t="s">
        <v>145</v>
      </c>
      <c r="J31" s="7" t="s">
        <v>146</v>
      </c>
      <c r="K31" s="8" t="s">
        <v>147</v>
      </c>
      <c r="L31" s="2" t="s">
        <v>20</v>
      </c>
    </row>
    <row r="32" ht="42.0" customHeight="1">
      <c r="A32" s="2">
        <v>8.0</v>
      </c>
      <c r="B32" s="3" t="s">
        <v>148</v>
      </c>
      <c r="C32" s="2" t="s">
        <v>149</v>
      </c>
      <c r="D32" s="2">
        <v>7.0</v>
      </c>
      <c r="E32" s="2">
        <v>3.0</v>
      </c>
      <c r="F32" s="10" t="s">
        <v>29</v>
      </c>
      <c r="G32" s="11" t="s">
        <v>30</v>
      </c>
      <c r="H32" s="6" t="s">
        <v>16</v>
      </c>
      <c r="I32" s="7" t="s">
        <v>150</v>
      </c>
      <c r="J32" s="7" t="s">
        <v>151</v>
      </c>
      <c r="K32" s="8" t="s">
        <v>134</v>
      </c>
      <c r="L32" s="2" t="s">
        <v>20</v>
      </c>
    </row>
    <row r="33" ht="42.0" customHeight="1">
      <c r="A33" s="2">
        <v>8.0</v>
      </c>
      <c r="B33" s="3" t="s">
        <v>152</v>
      </c>
      <c r="C33" s="2" t="s">
        <v>36</v>
      </c>
      <c r="D33" s="2">
        <v>4.0</v>
      </c>
      <c r="E33" s="2">
        <v>6.0</v>
      </c>
      <c r="F33" s="14" t="s">
        <v>51</v>
      </c>
      <c r="G33" s="5" t="s">
        <v>15</v>
      </c>
      <c r="H33" s="13" t="s">
        <v>37</v>
      </c>
      <c r="I33" s="7" t="s">
        <v>153</v>
      </c>
      <c r="J33" s="7" t="s">
        <v>154</v>
      </c>
      <c r="K33" s="8" t="s">
        <v>155</v>
      </c>
      <c r="L33" s="2" t="s">
        <v>20</v>
      </c>
    </row>
    <row r="34" ht="42.0" customHeight="1">
      <c r="A34" s="2">
        <v>8.0</v>
      </c>
      <c r="B34" s="3" t="s">
        <v>156</v>
      </c>
      <c r="C34" s="2" t="s">
        <v>83</v>
      </c>
      <c r="D34" s="2">
        <v>5.0</v>
      </c>
      <c r="E34" s="2">
        <v>6.0</v>
      </c>
      <c r="F34" s="14" t="s">
        <v>51</v>
      </c>
      <c r="G34" s="9" t="s">
        <v>23</v>
      </c>
      <c r="H34" s="6" t="s">
        <v>16</v>
      </c>
      <c r="I34" s="7" t="s">
        <v>157</v>
      </c>
      <c r="J34" s="7" t="s">
        <v>158</v>
      </c>
      <c r="K34" s="8" t="s">
        <v>26</v>
      </c>
      <c r="L34" s="2" t="s">
        <v>20</v>
      </c>
    </row>
    <row r="35" ht="42.0" customHeight="1">
      <c r="A35" s="2">
        <v>8.0</v>
      </c>
      <c r="B35" s="3" t="s">
        <v>159</v>
      </c>
      <c r="C35" s="2" t="s">
        <v>83</v>
      </c>
      <c r="D35" s="2">
        <v>5.0</v>
      </c>
      <c r="E35" s="2">
        <v>6.0</v>
      </c>
      <c r="F35" s="14" t="s">
        <v>51</v>
      </c>
      <c r="G35" s="11" t="s">
        <v>30</v>
      </c>
      <c r="H35" s="13" t="s">
        <v>37</v>
      </c>
      <c r="I35" s="7" t="s">
        <v>160</v>
      </c>
      <c r="J35" s="7" t="s">
        <v>161</v>
      </c>
      <c r="K35" s="8" t="s">
        <v>162</v>
      </c>
      <c r="L35" s="2" t="s">
        <v>20</v>
      </c>
    </row>
    <row r="36" ht="42.0" customHeight="1">
      <c r="A36" s="2">
        <v>8.0</v>
      </c>
      <c r="B36" s="3" t="s">
        <v>71</v>
      </c>
      <c r="C36" s="2" t="s">
        <v>83</v>
      </c>
      <c r="D36" s="2">
        <v>5.0</v>
      </c>
      <c r="E36" s="2">
        <v>6.0</v>
      </c>
      <c r="F36" s="14" t="s">
        <v>51</v>
      </c>
      <c r="G36" s="11" t="s">
        <v>30</v>
      </c>
      <c r="H36" s="6" t="s">
        <v>16</v>
      </c>
      <c r="I36" s="7" t="s">
        <v>163</v>
      </c>
      <c r="J36" s="7" t="s">
        <v>164</v>
      </c>
      <c r="K36" s="8" t="s">
        <v>71</v>
      </c>
      <c r="L36" s="2" t="s">
        <v>20</v>
      </c>
    </row>
    <row r="37" ht="42.0" customHeight="1">
      <c r="A37" s="2">
        <v>8.0</v>
      </c>
      <c r="B37" s="3" t="s">
        <v>165</v>
      </c>
      <c r="C37" s="2" t="s">
        <v>28</v>
      </c>
      <c r="D37" s="2">
        <v>7.0</v>
      </c>
      <c r="E37" s="2">
        <v>7.0</v>
      </c>
      <c r="F37" s="14" t="s">
        <v>51</v>
      </c>
      <c r="G37" s="9" t="s">
        <v>23</v>
      </c>
      <c r="H37" s="6" t="s">
        <v>16</v>
      </c>
      <c r="I37" s="7" t="s">
        <v>166</v>
      </c>
      <c r="J37" s="7" t="s">
        <v>167</v>
      </c>
      <c r="K37" s="8" t="s">
        <v>54</v>
      </c>
      <c r="L37" s="2" t="s">
        <v>20</v>
      </c>
    </row>
    <row r="38" ht="42.0" customHeight="1">
      <c r="A38" s="2">
        <v>8.0</v>
      </c>
      <c r="B38" s="3" t="s">
        <v>168</v>
      </c>
      <c r="C38" s="2" t="s">
        <v>50</v>
      </c>
      <c r="D38" s="2">
        <v>3.0</v>
      </c>
      <c r="E38" s="2">
        <v>7.0</v>
      </c>
      <c r="F38" s="14" t="s">
        <v>51</v>
      </c>
      <c r="G38" s="11" t="s">
        <v>30</v>
      </c>
      <c r="H38" s="13" t="s">
        <v>37</v>
      </c>
      <c r="I38" s="7" t="s">
        <v>169</v>
      </c>
      <c r="J38" s="7" t="s">
        <v>170</v>
      </c>
      <c r="K38" s="8" t="s">
        <v>134</v>
      </c>
      <c r="L38" s="2" t="s">
        <v>20</v>
      </c>
    </row>
    <row r="39" ht="42.0" customHeight="1">
      <c r="A39" s="2">
        <v>8.0</v>
      </c>
      <c r="B39" s="3" t="s">
        <v>171</v>
      </c>
      <c r="C39" s="2" t="s">
        <v>28</v>
      </c>
      <c r="D39" s="2">
        <v>7.0</v>
      </c>
      <c r="E39" s="2">
        <v>7.0</v>
      </c>
      <c r="F39" s="15" t="s">
        <v>121</v>
      </c>
      <c r="G39" s="9" t="s">
        <v>23</v>
      </c>
      <c r="H39" s="12" t="s">
        <v>31</v>
      </c>
      <c r="I39" s="7" t="s">
        <v>142</v>
      </c>
      <c r="J39" s="7" t="s">
        <v>172</v>
      </c>
      <c r="K39" s="8" t="s">
        <v>26</v>
      </c>
      <c r="L39" s="2" t="s">
        <v>20</v>
      </c>
    </row>
    <row r="40" ht="42.0" customHeight="1">
      <c r="A40" s="2">
        <v>8.0</v>
      </c>
      <c r="B40" s="3" t="s">
        <v>173</v>
      </c>
      <c r="C40" s="2" t="s">
        <v>174</v>
      </c>
      <c r="D40" s="2">
        <v>0.0</v>
      </c>
      <c r="E40" s="2">
        <v>7.0</v>
      </c>
      <c r="F40" s="15" t="s">
        <v>121</v>
      </c>
      <c r="G40" s="11" t="s">
        <v>30</v>
      </c>
      <c r="H40" s="13" t="s">
        <v>37</v>
      </c>
      <c r="I40" s="7" t="s">
        <v>175</v>
      </c>
      <c r="J40" s="7" t="s">
        <v>176</v>
      </c>
      <c r="K40" s="8" t="s">
        <v>155</v>
      </c>
      <c r="L40" s="2" t="s">
        <v>20</v>
      </c>
    </row>
    <row r="41" ht="42.0" customHeight="1">
      <c r="A41" s="2">
        <v>8.0</v>
      </c>
      <c r="B41" s="3" t="s">
        <v>177</v>
      </c>
      <c r="C41" s="2" t="s">
        <v>22</v>
      </c>
      <c r="D41" s="2">
        <v>8.0</v>
      </c>
      <c r="E41" s="2">
        <v>8.0</v>
      </c>
      <c r="F41" s="15" t="s">
        <v>121</v>
      </c>
      <c r="G41" s="5" t="s">
        <v>15</v>
      </c>
      <c r="H41" s="13" t="s">
        <v>37</v>
      </c>
      <c r="I41" s="7" t="s">
        <v>122</v>
      </c>
      <c r="J41" s="7" t="s">
        <v>122</v>
      </c>
      <c r="K41" s="8" t="s">
        <v>123</v>
      </c>
      <c r="L41" s="2" t="s">
        <v>20</v>
      </c>
    </row>
    <row r="42" ht="42.0" customHeight="1">
      <c r="A42" s="2">
        <v>7.0</v>
      </c>
      <c r="B42" s="3" t="s">
        <v>178</v>
      </c>
      <c r="C42" s="2" t="s">
        <v>179</v>
      </c>
      <c r="D42" s="2">
        <v>3.0</v>
      </c>
      <c r="E42" s="2">
        <v>4.0</v>
      </c>
      <c r="F42" s="4" t="s">
        <v>14</v>
      </c>
      <c r="G42" s="11" t="s">
        <v>30</v>
      </c>
      <c r="H42" s="6" t="s">
        <v>16</v>
      </c>
      <c r="I42" s="7" t="s">
        <v>180</v>
      </c>
      <c r="J42" s="7" t="s">
        <v>181</v>
      </c>
      <c r="K42" s="8" t="s">
        <v>182</v>
      </c>
      <c r="L42" s="2" t="s">
        <v>20</v>
      </c>
    </row>
    <row r="43" ht="42.0" customHeight="1">
      <c r="A43" s="2">
        <v>7.0</v>
      </c>
      <c r="B43" s="3" t="s">
        <v>183</v>
      </c>
      <c r="C43" s="2" t="s">
        <v>36</v>
      </c>
      <c r="D43" s="2">
        <v>4.0</v>
      </c>
      <c r="E43" s="2">
        <v>6.0</v>
      </c>
      <c r="F43" s="4" t="s">
        <v>14</v>
      </c>
      <c r="G43" s="11" t="s">
        <v>30</v>
      </c>
      <c r="H43" s="13" t="s">
        <v>37</v>
      </c>
      <c r="I43" s="7" t="s">
        <v>184</v>
      </c>
      <c r="J43" s="7" t="s">
        <v>185</v>
      </c>
      <c r="K43" s="8" t="s">
        <v>186</v>
      </c>
      <c r="L43" s="2" t="s">
        <v>20</v>
      </c>
    </row>
    <row r="44" ht="42.0" customHeight="1">
      <c r="A44" s="2">
        <v>7.0</v>
      </c>
      <c r="B44" s="3" t="s">
        <v>187</v>
      </c>
      <c r="C44" s="2" t="s">
        <v>36</v>
      </c>
      <c r="D44" s="2">
        <v>4.0</v>
      </c>
      <c r="E44" s="2">
        <v>6.0</v>
      </c>
      <c r="F44" s="10" t="s">
        <v>29</v>
      </c>
      <c r="G44" s="11" t="s">
        <v>30</v>
      </c>
      <c r="H44" s="12" t="s">
        <v>31</v>
      </c>
      <c r="I44" s="7" t="s">
        <v>188</v>
      </c>
      <c r="J44" s="7" t="s">
        <v>189</v>
      </c>
      <c r="K44" s="8" t="s">
        <v>190</v>
      </c>
      <c r="L44" s="2" t="s">
        <v>20</v>
      </c>
    </row>
    <row r="45" ht="42.0" customHeight="1">
      <c r="A45" s="2">
        <v>7.0</v>
      </c>
      <c r="B45" s="3" t="s">
        <v>191</v>
      </c>
      <c r="C45" s="2" t="s">
        <v>192</v>
      </c>
      <c r="D45" s="2">
        <v>4.0</v>
      </c>
      <c r="E45" s="2">
        <v>4.0</v>
      </c>
      <c r="F45" s="10" t="s">
        <v>29</v>
      </c>
      <c r="G45" s="5" t="s">
        <v>15</v>
      </c>
      <c r="H45" s="6" t="s">
        <v>16</v>
      </c>
      <c r="I45" s="7" t="s">
        <v>193</v>
      </c>
      <c r="J45" s="7" t="s">
        <v>194</v>
      </c>
      <c r="K45" s="8" t="s">
        <v>40</v>
      </c>
      <c r="L45" s="2" t="s">
        <v>20</v>
      </c>
    </row>
    <row r="46" ht="42.0" customHeight="1">
      <c r="A46" s="2">
        <v>7.0</v>
      </c>
      <c r="B46" s="3" t="s">
        <v>195</v>
      </c>
      <c r="C46" s="2" t="s">
        <v>105</v>
      </c>
      <c r="D46" s="2">
        <v>3.0</v>
      </c>
      <c r="E46" s="2">
        <v>6.0</v>
      </c>
      <c r="F46" s="10" t="s">
        <v>29</v>
      </c>
      <c r="G46" s="11" t="s">
        <v>30</v>
      </c>
      <c r="H46" s="6" t="s">
        <v>16</v>
      </c>
      <c r="I46" s="7" t="s">
        <v>196</v>
      </c>
      <c r="J46" s="7" t="s">
        <v>197</v>
      </c>
      <c r="K46" s="8" t="s">
        <v>40</v>
      </c>
      <c r="L46" s="2" t="s">
        <v>20</v>
      </c>
    </row>
    <row r="47" ht="42.0" customHeight="1">
      <c r="A47" s="2">
        <v>7.0</v>
      </c>
      <c r="B47" s="3" t="s">
        <v>198</v>
      </c>
      <c r="C47" s="2" t="s">
        <v>199</v>
      </c>
      <c r="D47" s="2">
        <v>4.0</v>
      </c>
      <c r="E47" s="2">
        <v>5.0</v>
      </c>
      <c r="F47" s="10" t="s">
        <v>29</v>
      </c>
      <c r="G47" s="11" t="s">
        <v>30</v>
      </c>
      <c r="H47" s="13" t="s">
        <v>37</v>
      </c>
      <c r="I47" s="7" t="s">
        <v>200</v>
      </c>
      <c r="J47" s="7" t="s">
        <v>201</v>
      </c>
      <c r="K47" s="8" t="s">
        <v>134</v>
      </c>
      <c r="L47" s="2" t="s">
        <v>20</v>
      </c>
    </row>
    <row r="48" ht="42.0" customHeight="1">
      <c r="A48" s="2">
        <v>7.0</v>
      </c>
      <c r="B48" s="3" t="s">
        <v>203</v>
      </c>
      <c r="C48" s="2" t="s">
        <v>36</v>
      </c>
      <c r="D48" s="2">
        <v>4.0</v>
      </c>
      <c r="E48" s="2">
        <v>6.0</v>
      </c>
      <c r="F48" s="14" t="s">
        <v>51</v>
      </c>
      <c r="G48" s="11" t="s">
        <v>30</v>
      </c>
      <c r="H48" s="6" t="s">
        <v>16</v>
      </c>
      <c r="I48" s="7" t="s">
        <v>204</v>
      </c>
      <c r="J48" s="7" t="s">
        <v>205</v>
      </c>
      <c r="K48" s="8" t="s">
        <v>206</v>
      </c>
      <c r="L48" s="2" t="s">
        <v>20</v>
      </c>
    </row>
    <row r="49" ht="42.0" customHeight="1">
      <c r="A49" s="2">
        <v>7.0</v>
      </c>
      <c r="B49" s="3" t="s">
        <v>207</v>
      </c>
      <c r="C49" s="2" t="s">
        <v>97</v>
      </c>
      <c r="D49" s="2">
        <v>5.0</v>
      </c>
      <c r="E49" s="2">
        <v>5.0</v>
      </c>
      <c r="F49" s="14" t="s">
        <v>51</v>
      </c>
      <c r="G49" s="11" t="s">
        <v>30</v>
      </c>
      <c r="H49" s="6" t="s">
        <v>16</v>
      </c>
      <c r="I49" s="7" t="s">
        <v>208</v>
      </c>
      <c r="J49" s="7" t="s">
        <v>209</v>
      </c>
      <c r="K49" s="8" t="s">
        <v>190</v>
      </c>
      <c r="L49" s="2" t="s">
        <v>20</v>
      </c>
    </row>
    <row r="50" ht="42.0" customHeight="1">
      <c r="A50" s="2">
        <v>7.0</v>
      </c>
      <c r="B50" s="3" t="s">
        <v>210</v>
      </c>
      <c r="C50" s="2" t="s">
        <v>192</v>
      </c>
      <c r="D50" s="2">
        <v>4.0</v>
      </c>
      <c r="E50" s="2">
        <v>4.0</v>
      </c>
      <c r="F50" s="14" t="s">
        <v>51</v>
      </c>
      <c r="G50" s="9" t="s">
        <v>23</v>
      </c>
      <c r="H50" s="6" t="s">
        <v>16</v>
      </c>
      <c r="I50" s="7" t="s">
        <v>211</v>
      </c>
      <c r="J50" s="7" t="s">
        <v>212</v>
      </c>
      <c r="K50" s="8" t="s">
        <v>213</v>
      </c>
      <c r="L50" s="2" t="s">
        <v>20</v>
      </c>
    </row>
    <row r="51" ht="42.0" customHeight="1">
      <c r="A51" s="2">
        <v>7.0</v>
      </c>
      <c r="B51" s="3" t="s">
        <v>214</v>
      </c>
      <c r="C51" s="2" t="s">
        <v>215</v>
      </c>
      <c r="D51" s="2">
        <v>1.0</v>
      </c>
      <c r="E51" s="2">
        <v>7.0</v>
      </c>
      <c r="F51" s="14" t="s">
        <v>51</v>
      </c>
      <c r="G51" s="5" t="s">
        <v>15</v>
      </c>
      <c r="H51" s="13" t="s">
        <v>37</v>
      </c>
      <c r="I51" s="7" t="s">
        <v>216</v>
      </c>
      <c r="J51" s="7" t="s">
        <v>217</v>
      </c>
      <c r="K51" s="8" t="s">
        <v>218</v>
      </c>
      <c r="L51" s="2" t="s">
        <v>20</v>
      </c>
    </row>
    <row r="52" ht="42.0" customHeight="1">
      <c r="A52" s="2">
        <v>7.0</v>
      </c>
      <c r="B52" s="3" t="s">
        <v>219</v>
      </c>
      <c r="C52" s="2" t="s">
        <v>220</v>
      </c>
      <c r="D52" s="2">
        <v>2.0</v>
      </c>
      <c r="E52" s="2">
        <v>6.0</v>
      </c>
      <c r="F52" s="14" t="s">
        <v>51</v>
      </c>
      <c r="G52" s="9" t="s">
        <v>23</v>
      </c>
      <c r="H52" s="6" t="s">
        <v>16</v>
      </c>
      <c r="I52" s="7" t="s">
        <v>221</v>
      </c>
      <c r="J52" s="7" t="s">
        <v>222</v>
      </c>
      <c r="K52" s="8" t="s">
        <v>223</v>
      </c>
      <c r="L52" s="2" t="s">
        <v>20</v>
      </c>
    </row>
    <row r="53" ht="42.0" customHeight="1">
      <c r="A53" s="2">
        <v>7.0</v>
      </c>
      <c r="B53" s="3" t="s">
        <v>224</v>
      </c>
      <c r="C53" s="2" t="s">
        <v>225</v>
      </c>
      <c r="D53" s="2">
        <v>3.0</v>
      </c>
      <c r="E53" s="2">
        <v>5.0</v>
      </c>
      <c r="F53" s="14" t="s">
        <v>51</v>
      </c>
      <c r="G53" s="5" t="s">
        <v>15</v>
      </c>
      <c r="H53" s="12" t="s">
        <v>31</v>
      </c>
      <c r="I53" s="7" t="s">
        <v>226</v>
      </c>
      <c r="J53" s="7" t="s">
        <v>227</v>
      </c>
      <c r="K53" s="8" t="s">
        <v>40</v>
      </c>
      <c r="L53" s="2" t="s">
        <v>20</v>
      </c>
    </row>
    <row r="54" ht="42.0" customHeight="1">
      <c r="A54" s="2">
        <v>7.0</v>
      </c>
      <c r="B54" s="3" t="s">
        <v>228</v>
      </c>
      <c r="C54" s="2" t="s">
        <v>199</v>
      </c>
      <c r="D54" s="2">
        <v>4.0</v>
      </c>
      <c r="E54" s="2">
        <v>5.0</v>
      </c>
      <c r="F54" s="15" t="s">
        <v>121</v>
      </c>
      <c r="G54" s="9" t="s">
        <v>23</v>
      </c>
      <c r="H54" s="13" t="s">
        <v>37</v>
      </c>
      <c r="I54" s="7" t="s">
        <v>229</v>
      </c>
      <c r="J54" s="7" t="s">
        <v>230</v>
      </c>
      <c r="K54" s="8" t="s">
        <v>228</v>
      </c>
      <c r="L54" s="2" t="s">
        <v>20</v>
      </c>
    </row>
    <row r="55" ht="42.0" customHeight="1">
      <c r="A55" s="2">
        <v>7.0</v>
      </c>
      <c r="B55" s="3" t="s">
        <v>231</v>
      </c>
      <c r="C55" s="2" t="s">
        <v>215</v>
      </c>
      <c r="D55" s="2">
        <v>1.0</v>
      </c>
      <c r="E55" s="2">
        <v>7.0</v>
      </c>
      <c r="F55" s="15" t="s">
        <v>121</v>
      </c>
      <c r="G55" s="9" t="s">
        <v>23</v>
      </c>
      <c r="H55" s="6" t="s">
        <v>16</v>
      </c>
      <c r="I55" s="7" t="s">
        <v>232</v>
      </c>
      <c r="J55" s="7" t="s">
        <v>233</v>
      </c>
      <c r="K55" s="8" t="s">
        <v>26</v>
      </c>
      <c r="L55" s="2" t="s">
        <v>20</v>
      </c>
    </row>
    <row r="56" ht="42.0" customHeight="1">
      <c r="A56" s="2">
        <v>7.0</v>
      </c>
      <c r="B56" s="3" t="s">
        <v>234</v>
      </c>
      <c r="C56" s="2" t="s">
        <v>28</v>
      </c>
      <c r="D56" s="2">
        <v>7.0</v>
      </c>
      <c r="E56" s="2">
        <v>7.0</v>
      </c>
      <c r="F56" s="15" t="s">
        <v>121</v>
      </c>
      <c r="G56" s="5" t="s">
        <v>15</v>
      </c>
      <c r="H56" s="13" t="s">
        <v>37</v>
      </c>
      <c r="I56" s="7" t="s">
        <v>122</v>
      </c>
      <c r="J56" s="7" t="s">
        <v>122</v>
      </c>
      <c r="K56" s="8" t="s">
        <v>123</v>
      </c>
      <c r="L56" s="2" t="s">
        <v>20</v>
      </c>
    </row>
    <row r="57" ht="42.0" customHeight="1">
      <c r="A57" s="2">
        <v>6.0</v>
      </c>
      <c r="B57" s="3" t="s">
        <v>235</v>
      </c>
      <c r="C57" s="2" t="s">
        <v>236</v>
      </c>
      <c r="D57" s="2">
        <v>2.0</v>
      </c>
      <c r="E57" s="2">
        <v>2.0</v>
      </c>
      <c r="F57" s="4" t="s">
        <v>14</v>
      </c>
      <c r="G57" s="11" t="s">
        <v>30</v>
      </c>
      <c r="H57" s="6" t="s">
        <v>16</v>
      </c>
      <c r="I57" s="7" t="s">
        <v>237</v>
      </c>
      <c r="J57" s="7" t="s">
        <v>238</v>
      </c>
      <c r="K57" s="8" t="s">
        <v>239</v>
      </c>
      <c r="L57" s="2" t="s">
        <v>20</v>
      </c>
    </row>
    <row r="58" ht="42.0" customHeight="1">
      <c r="A58" s="2">
        <v>6.0</v>
      </c>
      <c r="B58" s="3" t="s">
        <v>240</v>
      </c>
      <c r="C58" s="2" t="s">
        <v>241</v>
      </c>
      <c r="D58" s="2">
        <v>1.0</v>
      </c>
      <c r="E58" s="2">
        <v>1.0</v>
      </c>
      <c r="F58" s="4" t="s">
        <v>14</v>
      </c>
      <c r="G58" s="11" t="s">
        <v>30</v>
      </c>
      <c r="H58" s="13" t="s">
        <v>37</v>
      </c>
      <c r="I58" s="7" t="s">
        <v>242</v>
      </c>
      <c r="J58" s="7" t="s">
        <v>243</v>
      </c>
      <c r="K58" s="8" t="s">
        <v>244</v>
      </c>
      <c r="L58" s="2" t="s">
        <v>20</v>
      </c>
    </row>
    <row r="59" ht="42.0" customHeight="1">
      <c r="A59" s="2">
        <v>6.0</v>
      </c>
      <c r="B59" s="3" t="s">
        <v>245</v>
      </c>
      <c r="C59" s="2" t="s">
        <v>241</v>
      </c>
      <c r="D59" s="2">
        <v>1.0</v>
      </c>
      <c r="E59" s="2">
        <v>1.0</v>
      </c>
      <c r="F59" s="10" t="s">
        <v>29</v>
      </c>
      <c r="G59" s="11" t="s">
        <v>30</v>
      </c>
      <c r="H59" s="6" t="s">
        <v>16</v>
      </c>
      <c r="I59" s="7" t="s">
        <v>246</v>
      </c>
      <c r="J59" s="7" t="s">
        <v>247</v>
      </c>
      <c r="K59" s="8" t="s">
        <v>248</v>
      </c>
      <c r="L59" s="2" t="s">
        <v>20</v>
      </c>
    </row>
    <row r="60" ht="42.0" customHeight="1">
      <c r="A60" s="2">
        <v>6.0</v>
      </c>
      <c r="B60" s="3" t="s">
        <v>249</v>
      </c>
      <c r="C60" s="2" t="s">
        <v>192</v>
      </c>
      <c r="D60" s="2">
        <v>4.0</v>
      </c>
      <c r="E60" s="2">
        <v>4.0</v>
      </c>
      <c r="F60" s="10" t="s">
        <v>29</v>
      </c>
      <c r="G60" s="11" t="s">
        <v>30</v>
      </c>
      <c r="H60" s="13" t="s">
        <v>37</v>
      </c>
      <c r="I60" s="7" t="s">
        <v>250</v>
      </c>
      <c r="J60" s="7" t="s">
        <v>251</v>
      </c>
      <c r="K60" s="8" t="s">
        <v>218</v>
      </c>
      <c r="L60" s="2" t="s">
        <v>20</v>
      </c>
    </row>
    <row r="61" ht="42.0" customHeight="1">
      <c r="A61" s="2">
        <v>6.0</v>
      </c>
      <c r="B61" s="3" t="s">
        <v>253</v>
      </c>
      <c r="C61" s="2" t="s">
        <v>225</v>
      </c>
      <c r="D61" s="2">
        <v>3.0</v>
      </c>
      <c r="E61" s="2">
        <v>5.0</v>
      </c>
      <c r="F61" s="10" t="s">
        <v>29</v>
      </c>
      <c r="G61" s="11" t="s">
        <v>30</v>
      </c>
      <c r="H61" s="12" t="s">
        <v>31</v>
      </c>
      <c r="I61" s="7" t="s">
        <v>254</v>
      </c>
      <c r="J61" s="7" t="s">
        <v>255</v>
      </c>
      <c r="K61" s="8" t="s">
        <v>86</v>
      </c>
      <c r="L61" s="2" t="s">
        <v>20</v>
      </c>
    </row>
    <row r="62" ht="42.0" customHeight="1">
      <c r="A62" s="2">
        <v>6.0</v>
      </c>
      <c r="B62" s="3" t="s">
        <v>256</v>
      </c>
      <c r="C62" s="2" t="s">
        <v>174</v>
      </c>
      <c r="D62" s="2">
        <v>0.0</v>
      </c>
      <c r="E62" s="2">
        <v>7.0</v>
      </c>
      <c r="F62" s="10" t="s">
        <v>29</v>
      </c>
      <c r="G62" s="5" t="s">
        <v>15</v>
      </c>
      <c r="H62" s="6" t="s">
        <v>16</v>
      </c>
      <c r="I62" s="7" t="s">
        <v>257</v>
      </c>
      <c r="J62" s="7" t="s">
        <v>258</v>
      </c>
      <c r="K62" s="8" t="s">
        <v>259</v>
      </c>
      <c r="L62" s="2" t="s">
        <v>20</v>
      </c>
    </row>
    <row r="63" ht="42.0" customHeight="1">
      <c r="A63" s="2">
        <v>6.0</v>
      </c>
      <c r="B63" s="3" t="s">
        <v>260</v>
      </c>
      <c r="C63" s="2" t="s">
        <v>199</v>
      </c>
      <c r="D63" s="2">
        <v>4.0</v>
      </c>
      <c r="E63" s="2">
        <v>5.0</v>
      </c>
      <c r="F63" s="14" t="s">
        <v>51</v>
      </c>
      <c r="G63" s="11" t="s">
        <v>30</v>
      </c>
      <c r="H63" s="12" t="s">
        <v>31</v>
      </c>
      <c r="I63" s="7" t="s">
        <v>261</v>
      </c>
      <c r="J63" s="7" t="s">
        <v>262</v>
      </c>
      <c r="K63" s="8" t="s">
        <v>244</v>
      </c>
      <c r="L63" s="2" t="s">
        <v>20</v>
      </c>
    </row>
    <row r="64" ht="42.0" customHeight="1">
      <c r="A64" s="2">
        <v>6.0</v>
      </c>
      <c r="B64" s="3" t="s">
        <v>263</v>
      </c>
      <c r="C64" s="2" t="s">
        <v>199</v>
      </c>
      <c r="D64" s="2">
        <v>4.0</v>
      </c>
      <c r="E64" s="2">
        <v>5.0</v>
      </c>
      <c r="F64" s="14" t="s">
        <v>51</v>
      </c>
      <c r="G64" s="11" t="s">
        <v>30</v>
      </c>
      <c r="H64" s="12" t="s">
        <v>31</v>
      </c>
      <c r="I64" s="7" t="s">
        <v>264</v>
      </c>
      <c r="J64" s="7" t="s">
        <v>265</v>
      </c>
      <c r="K64" s="8" t="s">
        <v>81</v>
      </c>
      <c r="L64" s="2" t="s">
        <v>20</v>
      </c>
    </row>
    <row r="65" ht="42.0" customHeight="1">
      <c r="A65" s="2">
        <v>6.0</v>
      </c>
      <c r="B65" s="3" t="s">
        <v>266</v>
      </c>
      <c r="C65" s="2" t="s">
        <v>225</v>
      </c>
      <c r="D65" s="2">
        <v>3.0</v>
      </c>
      <c r="E65" s="2">
        <v>5.0</v>
      </c>
      <c r="F65" s="14" t="s">
        <v>51</v>
      </c>
      <c r="G65" s="9" t="s">
        <v>23</v>
      </c>
      <c r="H65" s="12" t="s">
        <v>31</v>
      </c>
      <c r="I65" s="7" t="s">
        <v>267</v>
      </c>
      <c r="J65" s="7" t="s">
        <v>268</v>
      </c>
      <c r="K65" s="8" t="s">
        <v>182</v>
      </c>
      <c r="L65" s="2" t="s">
        <v>20</v>
      </c>
    </row>
    <row r="66" ht="42.0" customHeight="1">
      <c r="A66" s="2">
        <v>6.0</v>
      </c>
      <c r="B66" s="3" t="s">
        <v>269</v>
      </c>
      <c r="C66" s="2" t="s">
        <v>270</v>
      </c>
      <c r="D66" s="2">
        <v>6.0</v>
      </c>
      <c r="E66" s="2">
        <v>3.0</v>
      </c>
      <c r="F66" s="14" t="s">
        <v>51</v>
      </c>
      <c r="G66" s="9" t="s">
        <v>23</v>
      </c>
      <c r="H66" s="6" t="s">
        <v>16</v>
      </c>
      <c r="I66" s="7" t="s">
        <v>271</v>
      </c>
      <c r="J66" s="7" t="s">
        <v>272</v>
      </c>
      <c r="K66" s="8" t="s">
        <v>273</v>
      </c>
      <c r="L66" s="2" t="s">
        <v>20</v>
      </c>
    </row>
    <row r="67" ht="42.0" customHeight="1">
      <c r="A67" s="2">
        <v>6.0</v>
      </c>
      <c r="B67" s="3" t="s">
        <v>274</v>
      </c>
      <c r="C67" s="2" t="s">
        <v>50</v>
      </c>
      <c r="D67" s="2">
        <v>3.0</v>
      </c>
      <c r="E67" s="2">
        <v>7.0</v>
      </c>
      <c r="F67" s="14" t="s">
        <v>51</v>
      </c>
      <c r="G67" s="5" t="s">
        <v>15</v>
      </c>
      <c r="H67" s="13" t="s">
        <v>37</v>
      </c>
      <c r="I67" s="7" t="s">
        <v>275</v>
      </c>
      <c r="J67" s="7" t="s">
        <v>276</v>
      </c>
      <c r="K67" s="8" t="s">
        <v>730</v>
      </c>
      <c r="L67" s="2" t="s">
        <v>20</v>
      </c>
    </row>
    <row r="68" ht="42.0" customHeight="1">
      <c r="A68" s="2">
        <v>6.0</v>
      </c>
      <c r="B68" s="3" t="s">
        <v>277</v>
      </c>
      <c r="C68" s="2" t="s">
        <v>278</v>
      </c>
      <c r="D68" s="2">
        <v>4.0</v>
      </c>
      <c r="E68" s="2">
        <v>3.0</v>
      </c>
      <c r="F68" s="14" t="s">
        <v>51</v>
      </c>
      <c r="G68" s="9" t="s">
        <v>23</v>
      </c>
      <c r="H68" s="13" t="s">
        <v>37</v>
      </c>
      <c r="I68" s="7" t="s">
        <v>79</v>
      </c>
      <c r="J68" s="7" t="s">
        <v>279</v>
      </c>
      <c r="K68" s="8" t="s">
        <v>86</v>
      </c>
      <c r="L68" s="2" t="s">
        <v>20</v>
      </c>
    </row>
    <row r="69" ht="42.0" customHeight="1">
      <c r="A69" s="2">
        <v>6.0</v>
      </c>
      <c r="B69" s="3" t="s">
        <v>280</v>
      </c>
      <c r="C69" s="2" t="s">
        <v>199</v>
      </c>
      <c r="D69" s="2">
        <v>4.0</v>
      </c>
      <c r="E69" s="2">
        <v>5.0</v>
      </c>
      <c r="F69" s="15" t="s">
        <v>121</v>
      </c>
      <c r="G69" s="11" t="s">
        <v>30</v>
      </c>
      <c r="H69" s="6" t="s">
        <v>16</v>
      </c>
      <c r="I69" s="7" t="s">
        <v>281</v>
      </c>
      <c r="J69" s="7" t="s">
        <v>282</v>
      </c>
      <c r="K69" s="8" t="s">
        <v>81</v>
      </c>
      <c r="L69" s="2" t="s">
        <v>20</v>
      </c>
    </row>
    <row r="70" ht="42.0" customHeight="1">
      <c r="A70" s="2">
        <v>6.0</v>
      </c>
      <c r="B70" s="3" t="s">
        <v>283</v>
      </c>
      <c r="C70" s="2" t="s">
        <v>83</v>
      </c>
      <c r="D70" s="2">
        <v>5.0</v>
      </c>
      <c r="E70" s="2">
        <v>6.0</v>
      </c>
      <c r="F70" s="15" t="s">
        <v>121</v>
      </c>
      <c r="G70" s="9" t="s">
        <v>23</v>
      </c>
      <c r="H70" s="13" t="s">
        <v>37</v>
      </c>
      <c r="I70" s="7" t="s">
        <v>284</v>
      </c>
      <c r="J70" s="7" t="s">
        <v>285</v>
      </c>
      <c r="K70" s="8" t="s">
        <v>286</v>
      </c>
      <c r="L70" s="2" t="s">
        <v>20</v>
      </c>
    </row>
    <row r="71" ht="42.0" customHeight="1">
      <c r="A71" s="2">
        <v>6.0</v>
      </c>
      <c r="B71" s="3" t="s">
        <v>287</v>
      </c>
      <c r="C71" s="2" t="s">
        <v>288</v>
      </c>
      <c r="D71" s="2">
        <v>3.0</v>
      </c>
      <c r="E71" s="2">
        <v>3.0</v>
      </c>
      <c r="F71" s="15" t="s">
        <v>121</v>
      </c>
      <c r="G71" s="9" t="s">
        <v>23</v>
      </c>
      <c r="H71" s="13" t="s">
        <v>37</v>
      </c>
      <c r="I71" s="7" t="s">
        <v>289</v>
      </c>
      <c r="J71" s="7" t="s">
        <v>290</v>
      </c>
      <c r="K71" s="8" t="s">
        <v>291</v>
      </c>
      <c r="L71" s="2" t="s">
        <v>20</v>
      </c>
    </row>
    <row r="72" ht="42.0" customHeight="1">
      <c r="A72" s="2">
        <v>6.0</v>
      </c>
      <c r="B72" s="3" t="s">
        <v>292</v>
      </c>
      <c r="C72" s="2" t="s">
        <v>192</v>
      </c>
      <c r="D72" s="2">
        <v>4.0</v>
      </c>
      <c r="E72" s="2">
        <v>4.0</v>
      </c>
      <c r="F72" s="15" t="s">
        <v>121</v>
      </c>
      <c r="G72" s="11" t="s">
        <v>30</v>
      </c>
      <c r="H72" s="13" t="s">
        <v>37</v>
      </c>
      <c r="I72" s="7" t="s">
        <v>293</v>
      </c>
      <c r="J72" s="7" t="s">
        <v>294</v>
      </c>
      <c r="K72" s="8" t="s">
        <v>295</v>
      </c>
      <c r="L72" s="2" t="s">
        <v>20</v>
      </c>
    </row>
    <row r="73" ht="42.0" customHeight="1">
      <c r="A73" s="2">
        <v>6.0</v>
      </c>
      <c r="B73" s="3" t="s">
        <v>296</v>
      </c>
      <c r="C73" s="2" t="s">
        <v>192</v>
      </c>
      <c r="D73" s="2">
        <v>4.0</v>
      </c>
      <c r="E73" s="2">
        <v>4.0</v>
      </c>
      <c r="F73" s="15" t="s">
        <v>121</v>
      </c>
      <c r="G73" s="11" t="s">
        <v>30</v>
      </c>
      <c r="H73" s="12" t="s">
        <v>31</v>
      </c>
      <c r="I73" s="7" t="s">
        <v>297</v>
      </c>
      <c r="J73" s="7" t="s">
        <v>298</v>
      </c>
      <c r="K73" s="8" t="s">
        <v>190</v>
      </c>
      <c r="L73" s="2" t="s">
        <v>20</v>
      </c>
    </row>
    <row r="74" ht="42.0" customHeight="1">
      <c r="A74" s="2">
        <v>6.0</v>
      </c>
      <c r="B74" s="3" t="s">
        <v>299</v>
      </c>
      <c r="C74" s="2" t="s">
        <v>199</v>
      </c>
      <c r="D74" s="2">
        <v>4.0</v>
      </c>
      <c r="E74" s="2">
        <v>5.0</v>
      </c>
      <c r="F74" s="15" t="s">
        <v>121</v>
      </c>
      <c r="G74" s="11" t="s">
        <v>30</v>
      </c>
      <c r="H74" s="12" t="s">
        <v>31</v>
      </c>
      <c r="I74" s="7" t="s">
        <v>300</v>
      </c>
      <c r="J74" s="7" t="s">
        <v>301</v>
      </c>
      <c r="K74" s="8" t="s">
        <v>71</v>
      </c>
      <c r="L74" s="2" t="s">
        <v>20</v>
      </c>
    </row>
    <row r="75" ht="42.0" customHeight="1">
      <c r="A75" s="2">
        <v>6.0</v>
      </c>
      <c r="B75" s="3" t="s">
        <v>302</v>
      </c>
      <c r="C75" s="2" t="s">
        <v>110</v>
      </c>
      <c r="D75" s="2">
        <v>6.0</v>
      </c>
      <c r="E75" s="2">
        <v>6.0</v>
      </c>
      <c r="F75" s="15" t="s">
        <v>121</v>
      </c>
      <c r="G75" s="5" t="s">
        <v>15</v>
      </c>
      <c r="H75" s="13" t="s">
        <v>37</v>
      </c>
      <c r="I75" s="7" t="s">
        <v>122</v>
      </c>
      <c r="J75" s="7" t="s">
        <v>122</v>
      </c>
      <c r="K75" s="8" t="s">
        <v>123</v>
      </c>
      <c r="L75" s="2" t="s">
        <v>20</v>
      </c>
    </row>
    <row r="76" ht="42.0" customHeight="1">
      <c r="A76" s="2">
        <v>6.0</v>
      </c>
      <c r="B76" s="3" t="s">
        <v>303</v>
      </c>
      <c r="C76" s="2" t="s">
        <v>304</v>
      </c>
      <c r="D76" s="2">
        <v>5.0</v>
      </c>
      <c r="E76" s="2">
        <v>4.0</v>
      </c>
      <c r="F76" s="15" t="s">
        <v>121</v>
      </c>
      <c r="G76" s="5" t="s">
        <v>15</v>
      </c>
      <c r="H76" s="13" t="s">
        <v>37</v>
      </c>
      <c r="I76" s="7" t="s">
        <v>305</v>
      </c>
      <c r="J76" s="7" t="s">
        <v>306</v>
      </c>
      <c r="K76" s="8" t="s">
        <v>307</v>
      </c>
      <c r="L76" s="2" t="s">
        <v>20</v>
      </c>
    </row>
    <row r="77" ht="42.0" customHeight="1">
      <c r="A77" s="2">
        <v>5.0</v>
      </c>
      <c r="B77" s="3" t="s">
        <v>308</v>
      </c>
      <c r="C77" s="2" t="s">
        <v>236</v>
      </c>
      <c r="D77" s="2">
        <v>2.0</v>
      </c>
      <c r="E77" s="2">
        <v>2.0</v>
      </c>
      <c r="F77" s="4" t="s">
        <v>14</v>
      </c>
      <c r="G77" s="11" t="s">
        <v>30</v>
      </c>
      <c r="H77" s="6" t="s">
        <v>16</v>
      </c>
      <c r="I77" s="7" t="s">
        <v>309</v>
      </c>
      <c r="J77" s="7" t="s">
        <v>310</v>
      </c>
      <c r="K77" s="8" t="s">
        <v>311</v>
      </c>
      <c r="L77" s="2" t="s">
        <v>20</v>
      </c>
    </row>
    <row r="78" ht="42.0" customHeight="1">
      <c r="A78" s="2">
        <v>5.0</v>
      </c>
      <c r="B78" s="3" t="s">
        <v>312</v>
      </c>
      <c r="C78" s="2" t="s">
        <v>88</v>
      </c>
      <c r="D78" s="2">
        <v>2.0</v>
      </c>
      <c r="E78" s="2">
        <v>7.0</v>
      </c>
      <c r="F78" s="4" t="s">
        <v>14</v>
      </c>
      <c r="G78" s="9" t="s">
        <v>23</v>
      </c>
      <c r="H78" s="6" t="s">
        <v>16</v>
      </c>
      <c r="I78" s="7" t="s">
        <v>313</v>
      </c>
      <c r="J78" s="7" t="s">
        <v>314</v>
      </c>
      <c r="K78" s="8" t="s">
        <v>315</v>
      </c>
      <c r="L78" s="2" t="s">
        <v>20</v>
      </c>
    </row>
    <row r="79" ht="42.0" customHeight="1">
      <c r="A79" s="2">
        <v>5.0</v>
      </c>
      <c r="B79" s="3" t="s">
        <v>316</v>
      </c>
      <c r="C79" s="2" t="s">
        <v>179</v>
      </c>
      <c r="D79" s="2">
        <v>3.0</v>
      </c>
      <c r="E79" s="2">
        <v>4.0</v>
      </c>
      <c r="F79" s="10" t="s">
        <v>29</v>
      </c>
      <c r="G79" s="11" t="s">
        <v>30</v>
      </c>
      <c r="H79" s="6" t="s">
        <v>16</v>
      </c>
      <c r="I79" s="7" t="s">
        <v>317</v>
      </c>
      <c r="J79" s="7" t="s">
        <v>318</v>
      </c>
      <c r="K79" s="8" t="s">
        <v>315</v>
      </c>
      <c r="L79" s="2" t="s">
        <v>20</v>
      </c>
    </row>
    <row r="80" ht="42.0" customHeight="1">
      <c r="A80" s="2">
        <v>5.0</v>
      </c>
      <c r="B80" s="3" t="s">
        <v>319</v>
      </c>
      <c r="C80" s="2" t="s">
        <v>192</v>
      </c>
      <c r="D80" s="2">
        <v>4.0</v>
      </c>
      <c r="E80" s="2">
        <v>4.0</v>
      </c>
      <c r="F80" s="10" t="s">
        <v>29</v>
      </c>
      <c r="G80" s="11" t="s">
        <v>30</v>
      </c>
      <c r="H80" s="12" t="s">
        <v>31</v>
      </c>
      <c r="I80" s="7" t="s">
        <v>320</v>
      </c>
      <c r="J80" s="7" t="s">
        <v>321</v>
      </c>
      <c r="K80" s="8" t="s">
        <v>44</v>
      </c>
      <c r="L80" s="2" t="s">
        <v>20</v>
      </c>
    </row>
    <row r="81" ht="42.0" customHeight="1">
      <c r="A81" s="2">
        <v>5.0</v>
      </c>
      <c r="B81" s="3" t="s">
        <v>322</v>
      </c>
      <c r="C81" s="2" t="s">
        <v>323</v>
      </c>
      <c r="D81" s="2">
        <v>2.0</v>
      </c>
      <c r="E81" s="2">
        <v>4.0</v>
      </c>
      <c r="F81" s="10" t="s">
        <v>29</v>
      </c>
      <c r="G81" s="9" t="s">
        <v>23</v>
      </c>
      <c r="H81" s="13" t="s">
        <v>37</v>
      </c>
      <c r="I81" s="7" t="s">
        <v>324</v>
      </c>
      <c r="J81" s="7" t="s">
        <v>325</v>
      </c>
      <c r="K81" s="8" t="s">
        <v>326</v>
      </c>
      <c r="L81" s="2" t="s">
        <v>20</v>
      </c>
    </row>
    <row r="82" ht="42.0" customHeight="1">
      <c r="A82" s="2">
        <v>5.0</v>
      </c>
      <c r="B82" s="3" t="s">
        <v>327</v>
      </c>
      <c r="C82" s="2" t="s">
        <v>328</v>
      </c>
      <c r="D82" s="2">
        <v>2.0</v>
      </c>
      <c r="E82" s="2">
        <v>5.0</v>
      </c>
      <c r="F82" s="10" t="s">
        <v>29</v>
      </c>
      <c r="G82" s="11" t="s">
        <v>30</v>
      </c>
      <c r="H82" s="12" t="s">
        <v>31</v>
      </c>
      <c r="I82" s="7" t="s">
        <v>329</v>
      </c>
      <c r="J82" s="7" t="s">
        <v>330</v>
      </c>
      <c r="K82" s="8" t="s">
        <v>248</v>
      </c>
      <c r="L82" s="2" t="s">
        <v>20</v>
      </c>
    </row>
    <row r="83" ht="42.0" customHeight="1">
      <c r="A83" s="2">
        <v>5.0</v>
      </c>
      <c r="B83" s="3" t="s">
        <v>331</v>
      </c>
      <c r="C83" s="2" t="s">
        <v>323</v>
      </c>
      <c r="D83" s="2">
        <v>2.0</v>
      </c>
      <c r="E83" s="2">
        <v>4.0</v>
      </c>
      <c r="F83" s="14" t="s">
        <v>51</v>
      </c>
      <c r="G83" s="11" t="s">
        <v>30</v>
      </c>
      <c r="H83" s="12" t="s">
        <v>31</v>
      </c>
      <c r="I83" s="7" t="s">
        <v>332</v>
      </c>
      <c r="J83" s="7" t="s">
        <v>333</v>
      </c>
      <c r="K83" s="8" t="s">
        <v>134</v>
      </c>
      <c r="L83" s="2" t="s">
        <v>20</v>
      </c>
    </row>
    <row r="84" ht="42.0" customHeight="1">
      <c r="A84" s="2">
        <v>5.0</v>
      </c>
      <c r="B84" s="3" t="s">
        <v>334</v>
      </c>
      <c r="C84" s="2" t="s">
        <v>105</v>
      </c>
      <c r="D84" s="2">
        <v>3.0</v>
      </c>
      <c r="E84" s="2">
        <v>6.0</v>
      </c>
      <c r="F84" s="14" t="s">
        <v>51</v>
      </c>
      <c r="G84" s="11" t="s">
        <v>30</v>
      </c>
      <c r="H84" s="12" t="s">
        <v>31</v>
      </c>
      <c r="I84" s="7" t="s">
        <v>335</v>
      </c>
      <c r="J84" s="7" t="s">
        <v>336</v>
      </c>
      <c r="K84" s="8" t="s">
        <v>223</v>
      </c>
      <c r="L84" s="2" t="s">
        <v>20</v>
      </c>
    </row>
    <row r="85" ht="42.0" customHeight="1">
      <c r="A85" s="2">
        <v>5.0</v>
      </c>
      <c r="B85" s="3" t="s">
        <v>337</v>
      </c>
      <c r="C85" s="2" t="s">
        <v>278</v>
      </c>
      <c r="D85" s="2">
        <v>4.0</v>
      </c>
      <c r="E85" s="2">
        <v>3.0</v>
      </c>
      <c r="F85" s="14" t="s">
        <v>51</v>
      </c>
      <c r="G85" s="11" t="s">
        <v>30</v>
      </c>
      <c r="H85" s="12" t="s">
        <v>31</v>
      </c>
      <c r="I85" s="7" t="s">
        <v>338</v>
      </c>
      <c r="J85" s="7" t="s">
        <v>339</v>
      </c>
      <c r="K85" s="8" t="s">
        <v>239</v>
      </c>
      <c r="L85" s="2" t="s">
        <v>20</v>
      </c>
    </row>
    <row r="86" ht="42.0" customHeight="1">
      <c r="A86" s="2">
        <v>5.0</v>
      </c>
      <c r="B86" s="3" t="s">
        <v>340</v>
      </c>
      <c r="C86" s="2" t="s">
        <v>328</v>
      </c>
      <c r="D86" s="2">
        <v>2.0</v>
      </c>
      <c r="E86" s="2">
        <v>5.0</v>
      </c>
      <c r="F86" s="14" t="s">
        <v>51</v>
      </c>
      <c r="G86" s="11" t="s">
        <v>30</v>
      </c>
      <c r="H86" s="13" t="s">
        <v>37</v>
      </c>
      <c r="I86" s="7" t="s">
        <v>341</v>
      </c>
      <c r="J86" s="7" t="s">
        <v>342</v>
      </c>
      <c r="K86" s="8" t="s">
        <v>326</v>
      </c>
      <c r="L86" s="2" t="s">
        <v>20</v>
      </c>
    </row>
    <row r="87" ht="42.0" customHeight="1">
      <c r="A87" s="2">
        <v>5.0</v>
      </c>
      <c r="B87" s="3" t="s">
        <v>343</v>
      </c>
      <c r="C87" s="2" t="s">
        <v>241</v>
      </c>
      <c r="D87" s="2">
        <v>1.0</v>
      </c>
      <c r="E87" s="2">
        <v>1.0</v>
      </c>
      <c r="F87" s="14" t="s">
        <v>51</v>
      </c>
      <c r="G87" s="5" t="s">
        <v>15</v>
      </c>
      <c r="H87" s="13" t="s">
        <v>37</v>
      </c>
      <c r="I87" s="7" t="s">
        <v>344</v>
      </c>
      <c r="J87" s="7" t="s">
        <v>345</v>
      </c>
      <c r="K87" s="8" t="s">
        <v>40</v>
      </c>
      <c r="L87" s="2" t="s">
        <v>20</v>
      </c>
    </row>
    <row r="88" ht="42.0" customHeight="1">
      <c r="A88" s="2">
        <v>5.0</v>
      </c>
      <c r="B88" s="3" t="s">
        <v>346</v>
      </c>
      <c r="C88" s="2" t="s">
        <v>105</v>
      </c>
      <c r="D88" s="2">
        <v>3.0</v>
      </c>
      <c r="E88" s="2">
        <v>6.0</v>
      </c>
      <c r="F88" s="14" t="s">
        <v>51</v>
      </c>
      <c r="G88" s="11" t="s">
        <v>30</v>
      </c>
      <c r="H88" s="13" t="s">
        <v>37</v>
      </c>
      <c r="I88" s="7" t="s">
        <v>347</v>
      </c>
      <c r="J88" s="7" t="s">
        <v>348</v>
      </c>
      <c r="K88" s="8" t="s">
        <v>140</v>
      </c>
      <c r="L88" s="2" t="s">
        <v>20</v>
      </c>
    </row>
    <row r="89" ht="42.0" customHeight="1">
      <c r="A89" s="2">
        <v>5.0</v>
      </c>
      <c r="B89" s="3" t="s">
        <v>349</v>
      </c>
      <c r="C89" s="2" t="s">
        <v>192</v>
      </c>
      <c r="D89" s="2">
        <v>4.0</v>
      </c>
      <c r="E89" s="2">
        <v>4.0</v>
      </c>
      <c r="F89" s="15" t="s">
        <v>121</v>
      </c>
      <c r="G89" s="9" t="s">
        <v>23</v>
      </c>
      <c r="H89" s="12" t="s">
        <v>31</v>
      </c>
      <c r="I89" s="7" t="s">
        <v>350</v>
      </c>
      <c r="J89" s="7" t="s">
        <v>351</v>
      </c>
      <c r="K89" s="8" t="s">
        <v>26</v>
      </c>
      <c r="L89" s="2" t="s">
        <v>20</v>
      </c>
    </row>
    <row r="90" ht="42.0" customHeight="1">
      <c r="A90" s="2">
        <v>5.0</v>
      </c>
      <c r="B90" s="3" t="s">
        <v>352</v>
      </c>
      <c r="C90" s="2" t="s">
        <v>225</v>
      </c>
      <c r="D90" s="2">
        <v>3.0</v>
      </c>
      <c r="E90" s="2">
        <v>5.0</v>
      </c>
      <c r="F90" s="15" t="s">
        <v>121</v>
      </c>
      <c r="G90" s="9" t="s">
        <v>23</v>
      </c>
      <c r="H90" s="13" t="s">
        <v>37</v>
      </c>
      <c r="I90" s="7" t="s">
        <v>353</v>
      </c>
      <c r="J90" s="7" t="s">
        <v>354</v>
      </c>
      <c r="K90" s="8" t="s">
        <v>355</v>
      </c>
      <c r="L90" s="2" t="s">
        <v>20</v>
      </c>
    </row>
    <row r="91" ht="42.0" customHeight="1">
      <c r="A91" s="2">
        <v>5.0</v>
      </c>
      <c r="B91" s="3" t="s">
        <v>356</v>
      </c>
      <c r="C91" s="2" t="s">
        <v>225</v>
      </c>
      <c r="D91" s="2">
        <v>3.0</v>
      </c>
      <c r="E91" s="2">
        <v>5.0</v>
      </c>
      <c r="F91" s="15" t="s">
        <v>121</v>
      </c>
      <c r="G91" s="11" t="s">
        <v>30</v>
      </c>
      <c r="H91" s="6" t="s">
        <v>16</v>
      </c>
      <c r="I91" s="7" t="s">
        <v>357</v>
      </c>
      <c r="J91" s="7" t="s">
        <v>358</v>
      </c>
      <c r="K91" s="8" t="s">
        <v>359</v>
      </c>
      <c r="L91" s="2" t="s">
        <v>20</v>
      </c>
    </row>
    <row r="92" ht="42.0" customHeight="1">
      <c r="A92" s="2">
        <v>5.0</v>
      </c>
      <c r="B92" s="3" t="s">
        <v>360</v>
      </c>
      <c r="C92" s="2" t="s">
        <v>97</v>
      </c>
      <c r="D92" s="2">
        <v>5.0</v>
      </c>
      <c r="E92" s="2">
        <v>5.0</v>
      </c>
      <c r="F92" s="15" t="s">
        <v>121</v>
      </c>
      <c r="G92" s="5" t="s">
        <v>15</v>
      </c>
      <c r="H92" s="13" t="s">
        <v>37</v>
      </c>
      <c r="I92" s="7" t="s">
        <v>122</v>
      </c>
      <c r="J92" s="7" t="s">
        <v>122</v>
      </c>
      <c r="K92" s="8" t="s">
        <v>123</v>
      </c>
      <c r="L92" s="2" t="s">
        <v>20</v>
      </c>
    </row>
    <row r="93" ht="42.0" customHeight="1">
      <c r="A93" s="2">
        <v>5.0</v>
      </c>
      <c r="B93" s="3" t="s">
        <v>361</v>
      </c>
      <c r="C93" s="2" t="s">
        <v>328</v>
      </c>
      <c r="D93" s="2">
        <v>2.0</v>
      </c>
      <c r="E93" s="2">
        <v>5.0</v>
      </c>
      <c r="F93" s="15" t="s">
        <v>121</v>
      </c>
      <c r="G93" s="5" t="s">
        <v>15</v>
      </c>
      <c r="H93" s="13" t="s">
        <v>37</v>
      </c>
      <c r="I93" s="7" t="s">
        <v>362</v>
      </c>
      <c r="J93" s="7" t="s">
        <v>363</v>
      </c>
      <c r="K93" s="8" t="s">
        <v>364</v>
      </c>
      <c r="L93" s="2" t="s">
        <v>20</v>
      </c>
    </row>
    <row r="94" ht="42.0" customHeight="1">
      <c r="A94" s="2">
        <v>5.0</v>
      </c>
      <c r="B94" s="3" t="s">
        <v>365</v>
      </c>
      <c r="C94" s="2" t="s">
        <v>192</v>
      </c>
      <c r="D94" s="2">
        <v>4.0</v>
      </c>
      <c r="E94" s="2">
        <v>4.0</v>
      </c>
      <c r="F94" s="15" t="s">
        <v>121</v>
      </c>
      <c r="G94" s="11" t="s">
        <v>30</v>
      </c>
      <c r="H94" s="13" t="s">
        <v>37</v>
      </c>
      <c r="I94" s="7" t="s">
        <v>366</v>
      </c>
      <c r="J94" s="7" t="s">
        <v>367</v>
      </c>
      <c r="K94" s="8" t="s">
        <v>368</v>
      </c>
      <c r="L94" s="2" t="s">
        <v>20</v>
      </c>
    </row>
    <row r="95" ht="42.0" customHeight="1">
      <c r="A95" s="2">
        <v>5.0</v>
      </c>
      <c r="B95" s="3" t="s">
        <v>369</v>
      </c>
      <c r="C95" s="2" t="s">
        <v>192</v>
      </c>
      <c r="D95" s="2">
        <v>4.0</v>
      </c>
      <c r="E95" s="2">
        <v>4.0</v>
      </c>
      <c r="F95" s="15" t="s">
        <v>121</v>
      </c>
      <c r="G95" s="5" t="s">
        <v>15</v>
      </c>
      <c r="H95" s="12" t="s">
        <v>31</v>
      </c>
      <c r="I95" s="7" t="s">
        <v>370</v>
      </c>
      <c r="J95" s="7" t="s">
        <v>371</v>
      </c>
      <c r="K95" s="8" t="s">
        <v>40</v>
      </c>
      <c r="L95" s="2" t="s">
        <v>20</v>
      </c>
    </row>
    <row r="96" ht="42.0" customHeight="1">
      <c r="A96" s="2">
        <v>5.0</v>
      </c>
      <c r="B96" s="3" t="s">
        <v>372</v>
      </c>
      <c r="C96" s="2" t="s">
        <v>328</v>
      </c>
      <c r="D96" s="2">
        <v>2.0</v>
      </c>
      <c r="E96" s="2">
        <v>5.0</v>
      </c>
      <c r="F96" s="15" t="s">
        <v>121</v>
      </c>
      <c r="G96" s="5" t="s">
        <v>15</v>
      </c>
      <c r="H96" s="6" t="s">
        <v>16</v>
      </c>
      <c r="I96" s="7" t="s">
        <v>373</v>
      </c>
      <c r="J96" s="7" t="s">
        <v>374</v>
      </c>
      <c r="K96" s="8" t="s">
        <v>372</v>
      </c>
      <c r="L96" s="2" t="s">
        <v>20</v>
      </c>
    </row>
    <row r="97" ht="42.0" customHeight="1">
      <c r="A97" s="2">
        <v>4.0</v>
      </c>
      <c r="B97" s="3" t="s">
        <v>375</v>
      </c>
      <c r="C97" s="2" t="s">
        <v>323</v>
      </c>
      <c r="D97" s="2">
        <v>2.0</v>
      </c>
      <c r="E97" s="2">
        <v>4.0</v>
      </c>
      <c r="F97" s="4" t="s">
        <v>14</v>
      </c>
      <c r="G97" s="11" t="s">
        <v>30</v>
      </c>
      <c r="H97" s="13" t="s">
        <v>37</v>
      </c>
      <c r="I97" s="7" t="s">
        <v>376</v>
      </c>
      <c r="J97" s="7" t="s">
        <v>377</v>
      </c>
      <c r="K97" s="8" t="s">
        <v>378</v>
      </c>
      <c r="L97" s="2" t="s">
        <v>20</v>
      </c>
    </row>
    <row r="98" ht="42.0" customHeight="1">
      <c r="A98" s="2">
        <v>4.0</v>
      </c>
      <c r="B98" s="3" t="s">
        <v>379</v>
      </c>
      <c r="C98" s="2" t="s">
        <v>380</v>
      </c>
      <c r="D98" s="2">
        <v>5.0</v>
      </c>
      <c r="E98" s="2">
        <v>3.0</v>
      </c>
      <c r="F98" s="4" t="s">
        <v>14</v>
      </c>
      <c r="G98" s="9" t="s">
        <v>23</v>
      </c>
      <c r="H98" s="13" t="s">
        <v>37</v>
      </c>
      <c r="I98" s="7" t="s">
        <v>381</v>
      </c>
      <c r="J98" s="7" t="s">
        <v>382</v>
      </c>
      <c r="K98" s="8" t="s">
        <v>383</v>
      </c>
      <c r="L98" s="2" t="s">
        <v>20</v>
      </c>
    </row>
    <row r="99" ht="42.0" customHeight="1">
      <c r="A99" s="2">
        <v>4.0</v>
      </c>
      <c r="B99" s="3" t="s">
        <v>384</v>
      </c>
      <c r="C99" s="2" t="s">
        <v>323</v>
      </c>
      <c r="D99" s="2">
        <v>2.0</v>
      </c>
      <c r="E99" s="2">
        <v>4.0</v>
      </c>
      <c r="F99" s="10" t="s">
        <v>29</v>
      </c>
      <c r="G99" s="11" t="s">
        <v>30</v>
      </c>
      <c r="H99" s="12" t="s">
        <v>31</v>
      </c>
      <c r="I99" s="7" t="s">
        <v>385</v>
      </c>
      <c r="J99" s="7" t="s">
        <v>386</v>
      </c>
      <c r="K99" s="8" t="s">
        <v>182</v>
      </c>
      <c r="L99" s="2" t="s">
        <v>20</v>
      </c>
    </row>
    <row r="100" ht="42.0" customHeight="1">
      <c r="A100" s="2">
        <v>4.0</v>
      </c>
      <c r="B100" s="3" t="s">
        <v>387</v>
      </c>
      <c r="C100" s="2" t="s">
        <v>388</v>
      </c>
      <c r="D100" s="2">
        <v>2.0</v>
      </c>
      <c r="E100" s="2">
        <v>3.0</v>
      </c>
      <c r="F100" s="10" t="s">
        <v>29</v>
      </c>
      <c r="G100" s="9" t="s">
        <v>23</v>
      </c>
      <c r="H100" s="13" t="s">
        <v>37</v>
      </c>
      <c r="I100" s="7" t="s">
        <v>389</v>
      </c>
      <c r="J100" s="7" t="s">
        <v>390</v>
      </c>
      <c r="K100" s="8" t="s">
        <v>383</v>
      </c>
      <c r="L100" s="2" t="s">
        <v>20</v>
      </c>
    </row>
    <row r="101" ht="42.0" customHeight="1">
      <c r="A101" s="2">
        <v>4.0</v>
      </c>
      <c r="B101" s="3" t="s">
        <v>391</v>
      </c>
      <c r="C101" s="2" t="s">
        <v>392</v>
      </c>
      <c r="D101" s="2">
        <v>4.0</v>
      </c>
      <c r="E101" s="2">
        <v>1.0</v>
      </c>
      <c r="F101" s="10" t="s">
        <v>29</v>
      </c>
      <c r="G101" s="11" t="s">
        <v>30</v>
      </c>
      <c r="H101" s="6" t="s">
        <v>16</v>
      </c>
      <c r="I101" s="7" t="s">
        <v>393</v>
      </c>
      <c r="J101" s="7" t="s">
        <v>394</v>
      </c>
      <c r="K101" s="8" t="s">
        <v>307</v>
      </c>
      <c r="L101" s="2" t="s">
        <v>20</v>
      </c>
    </row>
    <row r="102" ht="42.0" customHeight="1">
      <c r="A102" s="2">
        <v>4.0</v>
      </c>
      <c r="B102" s="3" t="s">
        <v>395</v>
      </c>
      <c r="C102" s="2" t="s">
        <v>179</v>
      </c>
      <c r="D102" s="2">
        <v>3.0</v>
      </c>
      <c r="E102" s="2">
        <v>4.0</v>
      </c>
      <c r="F102" s="10" t="s">
        <v>29</v>
      </c>
      <c r="G102" s="9" t="s">
        <v>23</v>
      </c>
      <c r="H102" s="6" t="s">
        <v>16</v>
      </c>
      <c r="I102" s="7" t="s">
        <v>396</v>
      </c>
      <c r="J102" s="7" t="s">
        <v>397</v>
      </c>
      <c r="K102" s="8" t="s">
        <v>311</v>
      </c>
      <c r="L102" s="2" t="s">
        <v>20</v>
      </c>
    </row>
    <row r="103" ht="42.0" customHeight="1">
      <c r="A103" s="2">
        <v>4.0</v>
      </c>
      <c r="B103" s="3" t="s">
        <v>398</v>
      </c>
      <c r="C103" s="2" t="s">
        <v>388</v>
      </c>
      <c r="D103" s="2">
        <v>2.0</v>
      </c>
      <c r="E103" s="2">
        <v>3.0</v>
      </c>
      <c r="F103" s="14" t="s">
        <v>51</v>
      </c>
      <c r="G103" s="5" t="s">
        <v>15</v>
      </c>
      <c r="H103" s="13" t="s">
        <v>37</v>
      </c>
      <c r="I103" s="7" t="s">
        <v>399</v>
      </c>
      <c r="J103" s="7" t="s">
        <v>400</v>
      </c>
      <c r="K103" s="8" t="s">
        <v>40</v>
      </c>
      <c r="L103" s="2" t="s">
        <v>20</v>
      </c>
    </row>
    <row r="104" ht="42.0" customHeight="1">
      <c r="A104" s="2">
        <v>4.0</v>
      </c>
      <c r="B104" s="3" t="s">
        <v>401</v>
      </c>
      <c r="C104" s="2" t="s">
        <v>402</v>
      </c>
      <c r="D104" s="2">
        <v>1.0</v>
      </c>
      <c r="E104" s="2">
        <v>4.0</v>
      </c>
      <c r="F104" s="14" t="s">
        <v>51</v>
      </c>
      <c r="G104" s="11" t="s">
        <v>30</v>
      </c>
      <c r="H104" s="12" t="s">
        <v>31</v>
      </c>
      <c r="I104" s="7" t="s">
        <v>403</v>
      </c>
      <c r="J104" s="7" t="s">
        <v>404</v>
      </c>
      <c r="K104" s="8" t="s">
        <v>26</v>
      </c>
      <c r="L104" s="2" t="s">
        <v>20</v>
      </c>
    </row>
    <row r="105" ht="42.0" customHeight="1">
      <c r="A105" s="2">
        <v>4.0</v>
      </c>
      <c r="B105" s="3" t="s">
        <v>405</v>
      </c>
      <c r="C105" s="2" t="s">
        <v>406</v>
      </c>
      <c r="D105" s="2">
        <v>1.0</v>
      </c>
      <c r="E105" s="2">
        <v>2.0</v>
      </c>
      <c r="F105" s="14" t="s">
        <v>51</v>
      </c>
      <c r="G105" s="11" t="s">
        <v>30</v>
      </c>
      <c r="H105" s="6" t="s">
        <v>16</v>
      </c>
      <c r="I105" s="7" t="s">
        <v>407</v>
      </c>
      <c r="J105" s="7" t="s">
        <v>408</v>
      </c>
      <c r="K105" s="8" t="s">
        <v>182</v>
      </c>
      <c r="L105" s="2" t="s">
        <v>20</v>
      </c>
    </row>
    <row r="106" ht="42.0" customHeight="1">
      <c r="A106" s="2">
        <v>4.0</v>
      </c>
      <c r="B106" s="3" t="s">
        <v>409</v>
      </c>
      <c r="C106" s="2" t="s">
        <v>288</v>
      </c>
      <c r="D106" s="2">
        <v>3.0</v>
      </c>
      <c r="E106" s="2">
        <v>3.0</v>
      </c>
      <c r="F106" s="14" t="s">
        <v>51</v>
      </c>
      <c r="G106" s="11" t="s">
        <v>30</v>
      </c>
      <c r="H106" s="12" t="s">
        <v>31</v>
      </c>
      <c r="I106" s="7" t="s">
        <v>410</v>
      </c>
      <c r="J106" s="7" t="s">
        <v>411</v>
      </c>
      <c r="K106" s="8" t="s">
        <v>359</v>
      </c>
      <c r="L106" s="2" t="s">
        <v>20</v>
      </c>
    </row>
    <row r="107" ht="42.0" customHeight="1">
      <c r="A107" s="2">
        <v>4.0</v>
      </c>
      <c r="B107" s="3" t="s">
        <v>412</v>
      </c>
      <c r="C107" s="2" t="s">
        <v>97</v>
      </c>
      <c r="D107" s="2">
        <v>5.0</v>
      </c>
      <c r="E107" s="2">
        <v>5.0</v>
      </c>
      <c r="F107" s="14" t="s">
        <v>51</v>
      </c>
      <c r="G107" s="9" t="s">
        <v>23</v>
      </c>
      <c r="H107" s="12" t="s">
        <v>31</v>
      </c>
      <c r="I107" s="7" t="s">
        <v>413</v>
      </c>
      <c r="J107" s="7" t="s">
        <v>414</v>
      </c>
      <c r="K107" s="8" t="s">
        <v>415</v>
      </c>
      <c r="L107" s="2" t="s">
        <v>20</v>
      </c>
    </row>
    <row r="108" ht="42.0" customHeight="1">
      <c r="A108" s="2">
        <v>4.0</v>
      </c>
      <c r="B108" s="3" t="s">
        <v>416</v>
      </c>
      <c r="C108" s="2" t="s">
        <v>388</v>
      </c>
      <c r="D108" s="2">
        <v>2.0</v>
      </c>
      <c r="E108" s="2">
        <v>3.0</v>
      </c>
      <c r="F108" s="14" t="s">
        <v>51</v>
      </c>
      <c r="G108" s="11" t="s">
        <v>30</v>
      </c>
      <c r="H108" s="13" t="s">
        <v>37</v>
      </c>
      <c r="I108" s="7" t="s">
        <v>417</v>
      </c>
      <c r="J108" s="7" t="s">
        <v>418</v>
      </c>
      <c r="K108" s="8" t="s">
        <v>416</v>
      </c>
      <c r="L108" s="2" t="s">
        <v>20</v>
      </c>
    </row>
    <row r="109" ht="42.0" customHeight="1">
      <c r="A109" s="2">
        <v>4.0</v>
      </c>
      <c r="B109" s="3" t="s">
        <v>419</v>
      </c>
      <c r="C109" s="2" t="s">
        <v>97</v>
      </c>
      <c r="D109" s="2">
        <v>5.0</v>
      </c>
      <c r="E109" s="2">
        <v>5.0</v>
      </c>
      <c r="F109" s="15" t="s">
        <v>121</v>
      </c>
      <c r="G109" s="9" t="s">
        <v>23</v>
      </c>
      <c r="H109" s="12" t="s">
        <v>31</v>
      </c>
      <c r="I109" s="7" t="s">
        <v>413</v>
      </c>
      <c r="J109" s="7" t="s">
        <v>420</v>
      </c>
      <c r="K109" s="8" t="s">
        <v>71</v>
      </c>
      <c r="L109" s="2" t="s">
        <v>20</v>
      </c>
    </row>
    <row r="110" ht="42.0" customHeight="1">
      <c r="A110" s="2">
        <v>4.0</v>
      </c>
      <c r="B110" s="3" t="s">
        <v>421</v>
      </c>
      <c r="C110" s="2" t="s">
        <v>192</v>
      </c>
      <c r="D110" s="2">
        <v>4.0</v>
      </c>
      <c r="E110" s="2">
        <v>4.0</v>
      </c>
      <c r="F110" s="15" t="s">
        <v>121</v>
      </c>
      <c r="G110" s="5" t="s">
        <v>15</v>
      </c>
      <c r="H110" s="13" t="s">
        <v>37</v>
      </c>
      <c r="I110" s="7" t="s">
        <v>122</v>
      </c>
      <c r="J110" s="7" t="s">
        <v>122</v>
      </c>
      <c r="K110" s="8" t="s">
        <v>123</v>
      </c>
      <c r="L110" s="2" t="s">
        <v>20</v>
      </c>
    </row>
    <row r="111" ht="42.0" customHeight="1">
      <c r="A111" s="2">
        <v>4.0</v>
      </c>
      <c r="B111" s="3" t="s">
        <v>422</v>
      </c>
      <c r="C111" s="2" t="s">
        <v>288</v>
      </c>
      <c r="D111" s="2">
        <v>3.0</v>
      </c>
      <c r="E111" s="2">
        <v>3.0</v>
      </c>
      <c r="F111" s="15" t="s">
        <v>121</v>
      </c>
      <c r="G111" s="9" t="s">
        <v>23</v>
      </c>
      <c r="H111" s="12" t="s">
        <v>31</v>
      </c>
      <c r="I111" s="7" t="s">
        <v>423</v>
      </c>
      <c r="J111" s="7" t="s">
        <v>424</v>
      </c>
      <c r="K111" s="8" t="s">
        <v>26</v>
      </c>
      <c r="L111" s="2" t="s">
        <v>20</v>
      </c>
    </row>
    <row r="112" ht="42.0" customHeight="1">
      <c r="A112" s="2">
        <v>4.0</v>
      </c>
      <c r="B112" s="3" t="s">
        <v>425</v>
      </c>
      <c r="C112" s="2" t="s">
        <v>236</v>
      </c>
      <c r="D112" s="2">
        <v>2.0</v>
      </c>
      <c r="E112" s="2">
        <v>2.0</v>
      </c>
      <c r="F112" s="15" t="s">
        <v>121</v>
      </c>
      <c r="G112" s="11" t="s">
        <v>30</v>
      </c>
      <c r="H112" s="6" t="s">
        <v>16</v>
      </c>
      <c r="I112" s="7" t="s">
        <v>426</v>
      </c>
      <c r="J112" s="7" t="s">
        <v>427</v>
      </c>
      <c r="K112" s="8" t="s">
        <v>40</v>
      </c>
      <c r="L112" s="2" t="s">
        <v>20</v>
      </c>
    </row>
    <row r="113" ht="42.0" customHeight="1">
      <c r="A113" s="2">
        <v>4.0</v>
      </c>
      <c r="B113" s="3" t="s">
        <v>428</v>
      </c>
      <c r="C113" s="2" t="s">
        <v>323</v>
      </c>
      <c r="D113" s="2">
        <v>2.0</v>
      </c>
      <c r="E113" s="2">
        <v>4.0</v>
      </c>
      <c r="F113" s="15" t="s">
        <v>121</v>
      </c>
      <c r="G113" s="5" t="s">
        <v>15</v>
      </c>
      <c r="H113" s="12" t="s">
        <v>31</v>
      </c>
      <c r="I113" s="7" t="s">
        <v>429</v>
      </c>
      <c r="J113" s="7"/>
      <c r="K113" s="8" t="s">
        <v>223</v>
      </c>
      <c r="L113" s="2" t="s">
        <v>20</v>
      </c>
    </row>
    <row r="114" ht="42.0" customHeight="1">
      <c r="A114" s="2">
        <v>4.0</v>
      </c>
      <c r="B114" s="3" t="s">
        <v>430</v>
      </c>
      <c r="C114" s="2" t="s">
        <v>288</v>
      </c>
      <c r="D114" s="2">
        <v>3.0</v>
      </c>
      <c r="E114" s="2">
        <v>3.0</v>
      </c>
      <c r="F114" s="15" t="s">
        <v>121</v>
      </c>
      <c r="G114" s="9" t="s">
        <v>23</v>
      </c>
      <c r="H114" s="6" t="s">
        <v>16</v>
      </c>
      <c r="I114" s="7" t="s">
        <v>431</v>
      </c>
      <c r="J114" s="7" t="s">
        <v>432</v>
      </c>
      <c r="K114" s="8" t="s">
        <v>311</v>
      </c>
      <c r="L114" s="2" t="s">
        <v>20</v>
      </c>
    </row>
    <row r="115" ht="42.0" customHeight="1">
      <c r="A115" s="2">
        <v>4.0</v>
      </c>
      <c r="B115" s="3" t="s">
        <v>433</v>
      </c>
      <c r="C115" s="2" t="s">
        <v>288</v>
      </c>
      <c r="D115" s="2">
        <v>3.0</v>
      </c>
      <c r="E115" s="2">
        <v>3.0</v>
      </c>
      <c r="F115" s="15" t="s">
        <v>121</v>
      </c>
      <c r="G115" s="9" t="s">
        <v>23</v>
      </c>
      <c r="H115" s="6" t="s">
        <v>16</v>
      </c>
      <c r="I115" s="7" t="s">
        <v>434</v>
      </c>
      <c r="J115" s="7" t="s">
        <v>435</v>
      </c>
      <c r="K115" s="8" t="s">
        <v>40</v>
      </c>
      <c r="L115" s="2" t="s">
        <v>20</v>
      </c>
    </row>
    <row r="116" ht="42.0" customHeight="1">
      <c r="A116" s="2">
        <v>4.0</v>
      </c>
      <c r="B116" s="3" t="s">
        <v>436</v>
      </c>
      <c r="C116" s="2" t="s">
        <v>225</v>
      </c>
      <c r="D116" s="2">
        <v>3.0</v>
      </c>
      <c r="E116" s="2">
        <v>5.0</v>
      </c>
      <c r="F116" s="15" t="s">
        <v>121</v>
      </c>
      <c r="G116" s="9" t="s">
        <v>23</v>
      </c>
      <c r="H116" s="12" t="s">
        <v>31</v>
      </c>
      <c r="I116" s="7" t="s">
        <v>353</v>
      </c>
      <c r="J116" s="7" t="s">
        <v>437</v>
      </c>
      <c r="K116" s="8" t="s">
        <v>438</v>
      </c>
      <c r="L116" s="2" t="s">
        <v>20</v>
      </c>
    </row>
    <row r="117" ht="42.0" customHeight="1">
      <c r="A117" s="2">
        <v>3.0</v>
      </c>
      <c r="B117" s="3" t="s">
        <v>439</v>
      </c>
      <c r="C117" s="2" t="s">
        <v>241</v>
      </c>
      <c r="D117" s="2">
        <v>1.0</v>
      </c>
      <c r="E117" s="2">
        <v>1.0</v>
      </c>
      <c r="F117" s="4" t="s">
        <v>14</v>
      </c>
      <c r="G117" s="11" t="s">
        <v>30</v>
      </c>
      <c r="H117" s="6" t="s">
        <v>16</v>
      </c>
      <c r="I117" s="7" t="s">
        <v>440</v>
      </c>
      <c r="J117" s="7" t="s">
        <v>441</v>
      </c>
      <c r="K117" s="8" t="s">
        <v>108</v>
      </c>
      <c r="L117" s="2" t="s">
        <v>20</v>
      </c>
    </row>
    <row r="118" ht="42.0" customHeight="1">
      <c r="A118" s="2">
        <v>3.0</v>
      </c>
      <c r="B118" s="3" t="s">
        <v>442</v>
      </c>
      <c r="C118" s="2" t="s">
        <v>241</v>
      </c>
      <c r="D118" s="2">
        <v>1.0</v>
      </c>
      <c r="E118" s="2">
        <v>1.0</v>
      </c>
      <c r="F118" s="4" t="s">
        <v>14</v>
      </c>
      <c r="G118" s="11" t="s">
        <v>30</v>
      </c>
      <c r="H118" s="6" t="s">
        <v>16</v>
      </c>
      <c r="I118" s="7" t="s">
        <v>443</v>
      </c>
      <c r="J118" s="7" t="s">
        <v>444</v>
      </c>
      <c r="K118" s="8" t="s">
        <v>182</v>
      </c>
      <c r="L118" s="2" t="s">
        <v>20</v>
      </c>
    </row>
    <row r="119" ht="42.0" customHeight="1">
      <c r="A119" s="2">
        <v>3.0</v>
      </c>
      <c r="B119" s="3" t="s">
        <v>445</v>
      </c>
      <c r="C119" s="2" t="s">
        <v>236</v>
      </c>
      <c r="D119" s="2">
        <v>2.0</v>
      </c>
      <c r="E119" s="2">
        <v>2.0</v>
      </c>
      <c r="F119" s="10" t="s">
        <v>29</v>
      </c>
      <c r="G119" s="11" t="s">
        <v>30</v>
      </c>
      <c r="H119" s="6" t="s">
        <v>16</v>
      </c>
      <c r="I119" s="7" t="s">
        <v>221</v>
      </c>
      <c r="J119" s="7" t="s">
        <v>446</v>
      </c>
      <c r="K119" s="8" t="s">
        <v>190</v>
      </c>
      <c r="L119" s="2" t="s">
        <v>20</v>
      </c>
    </row>
    <row r="120" ht="42.0" customHeight="1">
      <c r="A120" s="2">
        <v>3.0</v>
      </c>
      <c r="B120" s="3" t="s">
        <v>447</v>
      </c>
      <c r="C120" s="2" t="s">
        <v>448</v>
      </c>
      <c r="D120" s="2">
        <v>3.0</v>
      </c>
      <c r="E120" s="2">
        <v>2.0</v>
      </c>
      <c r="F120" s="10" t="s">
        <v>29</v>
      </c>
      <c r="G120" s="9" t="s">
        <v>23</v>
      </c>
      <c r="H120" s="12" t="s">
        <v>31</v>
      </c>
      <c r="I120" s="7" t="s">
        <v>449</v>
      </c>
      <c r="J120" s="7" t="s">
        <v>450</v>
      </c>
      <c r="K120" s="8" t="s">
        <v>26</v>
      </c>
      <c r="L120" s="2" t="s">
        <v>20</v>
      </c>
    </row>
    <row r="121" ht="42.0" customHeight="1">
      <c r="A121" s="2">
        <v>3.0</v>
      </c>
      <c r="B121" s="3" t="s">
        <v>451</v>
      </c>
      <c r="C121" s="2" t="s">
        <v>448</v>
      </c>
      <c r="D121" s="2">
        <v>3.0</v>
      </c>
      <c r="E121" s="2">
        <v>2.0</v>
      </c>
      <c r="F121" s="10" t="s">
        <v>29</v>
      </c>
      <c r="G121" s="9" t="s">
        <v>23</v>
      </c>
      <c r="H121" s="12" t="s">
        <v>31</v>
      </c>
      <c r="I121" s="7" t="s">
        <v>452</v>
      </c>
      <c r="J121" s="7" t="s">
        <v>453</v>
      </c>
      <c r="K121" s="8" t="s">
        <v>26</v>
      </c>
      <c r="L121" s="2" t="s">
        <v>20</v>
      </c>
    </row>
    <row r="122" ht="42.0" customHeight="1">
      <c r="A122" s="2">
        <v>3.0</v>
      </c>
      <c r="B122" s="3" t="s">
        <v>454</v>
      </c>
      <c r="C122" s="2" t="s">
        <v>455</v>
      </c>
      <c r="D122" s="2">
        <v>2.0</v>
      </c>
      <c r="E122" s="2">
        <v>1.0</v>
      </c>
      <c r="F122" s="10" t="s">
        <v>29</v>
      </c>
      <c r="G122" s="9" t="s">
        <v>23</v>
      </c>
      <c r="H122" s="12" t="s">
        <v>31</v>
      </c>
      <c r="I122" s="7" t="s">
        <v>320</v>
      </c>
      <c r="J122" s="7" t="s">
        <v>456</v>
      </c>
      <c r="K122" s="8" t="s">
        <v>383</v>
      </c>
      <c r="L122" s="2" t="s">
        <v>20</v>
      </c>
    </row>
    <row r="123" ht="42.0" customHeight="1">
      <c r="A123" s="2">
        <v>3.0</v>
      </c>
      <c r="B123" s="3" t="s">
        <v>457</v>
      </c>
      <c r="C123" s="2" t="s">
        <v>388</v>
      </c>
      <c r="D123" s="2">
        <v>2.0</v>
      </c>
      <c r="E123" s="2">
        <v>3.0</v>
      </c>
      <c r="F123" s="14" t="s">
        <v>51</v>
      </c>
      <c r="G123" s="11" t="s">
        <v>30</v>
      </c>
      <c r="H123" s="12" t="s">
        <v>31</v>
      </c>
      <c r="I123" s="7" t="s">
        <v>458</v>
      </c>
      <c r="J123" s="7" t="s">
        <v>459</v>
      </c>
      <c r="K123" s="8" t="s">
        <v>190</v>
      </c>
      <c r="L123" s="2" t="s">
        <v>20</v>
      </c>
    </row>
    <row r="124" ht="42.0" customHeight="1">
      <c r="A124" s="2">
        <v>3.0</v>
      </c>
      <c r="B124" s="3" t="s">
        <v>460</v>
      </c>
      <c r="C124" s="2" t="s">
        <v>461</v>
      </c>
      <c r="D124" s="2">
        <v>4.0</v>
      </c>
      <c r="E124" s="2">
        <v>2.0</v>
      </c>
      <c r="F124" s="14" t="s">
        <v>51</v>
      </c>
      <c r="G124" s="9" t="s">
        <v>23</v>
      </c>
      <c r="H124" s="12" t="s">
        <v>31</v>
      </c>
      <c r="I124" s="7" t="s">
        <v>462</v>
      </c>
      <c r="J124" s="7" t="s">
        <v>463</v>
      </c>
      <c r="K124" s="8" t="s">
        <v>326</v>
      </c>
      <c r="L124" s="2" t="s">
        <v>20</v>
      </c>
    </row>
    <row r="125" ht="42.0" customHeight="1">
      <c r="A125" s="2">
        <v>3.0</v>
      </c>
      <c r="B125" s="3" t="s">
        <v>464</v>
      </c>
      <c r="C125" s="2" t="s">
        <v>236</v>
      </c>
      <c r="D125" s="2">
        <v>2.0</v>
      </c>
      <c r="E125" s="2">
        <v>2.0</v>
      </c>
      <c r="F125" s="14" t="s">
        <v>51</v>
      </c>
      <c r="G125" s="11" t="s">
        <v>30</v>
      </c>
      <c r="H125" s="12" t="s">
        <v>31</v>
      </c>
      <c r="I125" s="7" t="s">
        <v>465</v>
      </c>
      <c r="J125" s="7" t="s">
        <v>466</v>
      </c>
      <c r="K125" s="8" t="s">
        <v>182</v>
      </c>
      <c r="L125" s="2" t="s">
        <v>20</v>
      </c>
    </row>
    <row r="126" ht="42.0" customHeight="1">
      <c r="A126" s="2">
        <v>3.0</v>
      </c>
      <c r="B126" s="3" t="s">
        <v>467</v>
      </c>
      <c r="C126" s="2" t="s">
        <v>236</v>
      </c>
      <c r="D126" s="2">
        <v>2.0</v>
      </c>
      <c r="E126" s="2">
        <v>2.0</v>
      </c>
      <c r="F126" s="14" t="s">
        <v>51</v>
      </c>
      <c r="G126" s="11" t="s">
        <v>30</v>
      </c>
      <c r="H126" s="6" t="s">
        <v>16</v>
      </c>
      <c r="I126" s="7" t="s">
        <v>468</v>
      </c>
      <c r="J126" s="7" t="s">
        <v>469</v>
      </c>
      <c r="K126" s="8" t="s">
        <v>86</v>
      </c>
      <c r="L126" s="2" t="s">
        <v>20</v>
      </c>
    </row>
    <row r="127" ht="42.0" customHeight="1">
      <c r="A127" s="2">
        <v>3.0</v>
      </c>
      <c r="B127" s="3" t="s">
        <v>470</v>
      </c>
      <c r="C127" s="2" t="s">
        <v>388</v>
      </c>
      <c r="D127" s="2">
        <v>2.0</v>
      </c>
      <c r="E127" s="2">
        <v>3.0</v>
      </c>
      <c r="F127" s="14" t="s">
        <v>51</v>
      </c>
      <c r="G127" s="5" t="s">
        <v>15</v>
      </c>
      <c r="H127" s="6" t="s">
        <v>16</v>
      </c>
      <c r="I127" s="7" t="s">
        <v>471</v>
      </c>
      <c r="J127" s="7" t="s">
        <v>472</v>
      </c>
      <c r="K127" s="8" t="s">
        <v>134</v>
      </c>
      <c r="L127" s="2" t="s">
        <v>20</v>
      </c>
    </row>
    <row r="128" ht="42.0" customHeight="1">
      <c r="A128" s="2">
        <v>3.0</v>
      </c>
      <c r="B128" s="3" t="s">
        <v>473</v>
      </c>
      <c r="C128" s="2" t="s">
        <v>278</v>
      </c>
      <c r="D128" s="2">
        <v>4.0</v>
      </c>
      <c r="E128" s="2">
        <v>3.0</v>
      </c>
      <c r="F128" s="14" t="s">
        <v>51</v>
      </c>
      <c r="G128" s="9" t="s">
        <v>23</v>
      </c>
      <c r="H128" s="12" t="s">
        <v>31</v>
      </c>
      <c r="I128" s="7" t="s">
        <v>413</v>
      </c>
      <c r="J128" s="7" t="s">
        <v>474</v>
      </c>
      <c r="K128" s="8" t="s">
        <v>311</v>
      </c>
      <c r="L128" s="2" t="s">
        <v>20</v>
      </c>
    </row>
    <row r="129" ht="42.0" customHeight="1">
      <c r="A129" s="2">
        <v>3.0</v>
      </c>
      <c r="B129" s="3" t="s">
        <v>475</v>
      </c>
      <c r="C129" s="2" t="s">
        <v>476</v>
      </c>
      <c r="D129" s="2">
        <v>0.0</v>
      </c>
      <c r="E129" s="2">
        <v>2.0</v>
      </c>
      <c r="F129" s="15" t="s">
        <v>121</v>
      </c>
      <c r="G129" s="11" t="s">
        <v>30</v>
      </c>
      <c r="H129" s="12" t="s">
        <v>31</v>
      </c>
      <c r="I129" s="7" t="s">
        <v>477</v>
      </c>
      <c r="J129" s="7" t="s">
        <v>478</v>
      </c>
      <c r="K129" s="8" t="s">
        <v>182</v>
      </c>
      <c r="L129" s="2" t="s">
        <v>20</v>
      </c>
    </row>
    <row r="130" ht="42.0" customHeight="1">
      <c r="A130" s="2">
        <v>3.0</v>
      </c>
      <c r="B130" s="3" t="s">
        <v>479</v>
      </c>
      <c r="C130" s="2" t="s">
        <v>388</v>
      </c>
      <c r="D130" s="2">
        <v>2.0</v>
      </c>
      <c r="E130" s="2">
        <v>3.0</v>
      </c>
      <c r="F130" s="15" t="s">
        <v>121</v>
      </c>
      <c r="G130" s="11" t="s">
        <v>30</v>
      </c>
      <c r="H130" s="13" t="s">
        <v>37</v>
      </c>
      <c r="I130" s="7" t="s">
        <v>480</v>
      </c>
      <c r="J130" s="7" t="s">
        <v>481</v>
      </c>
      <c r="K130" s="8" t="s">
        <v>355</v>
      </c>
      <c r="L130" s="2" t="s">
        <v>20</v>
      </c>
    </row>
    <row r="131" ht="42.0" customHeight="1">
      <c r="A131" s="2">
        <v>3.0</v>
      </c>
      <c r="B131" s="3" t="s">
        <v>482</v>
      </c>
      <c r="C131" s="2" t="s">
        <v>241</v>
      </c>
      <c r="D131" s="2">
        <v>1.0</v>
      </c>
      <c r="E131" s="2">
        <v>1.0</v>
      </c>
      <c r="F131" s="15" t="s">
        <v>121</v>
      </c>
      <c r="G131" s="11" t="s">
        <v>30</v>
      </c>
      <c r="H131" s="13" t="s">
        <v>37</v>
      </c>
      <c r="I131" s="7" t="s">
        <v>483</v>
      </c>
      <c r="J131" s="7" t="s">
        <v>484</v>
      </c>
      <c r="K131" s="8" t="s">
        <v>485</v>
      </c>
      <c r="L131" s="2" t="s">
        <v>20</v>
      </c>
    </row>
    <row r="132" ht="42.0" customHeight="1">
      <c r="A132" s="2">
        <v>3.0</v>
      </c>
      <c r="B132" s="3" t="s">
        <v>486</v>
      </c>
      <c r="C132" s="2" t="s">
        <v>241</v>
      </c>
      <c r="D132" s="2">
        <v>1.0</v>
      </c>
      <c r="E132" s="2">
        <v>1.0</v>
      </c>
      <c r="F132" s="15" t="s">
        <v>121</v>
      </c>
      <c r="G132" s="9" t="s">
        <v>23</v>
      </c>
      <c r="H132" s="13" t="s">
        <v>37</v>
      </c>
      <c r="I132" s="7" t="s">
        <v>487</v>
      </c>
      <c r="J132" s="7"/>
      <c r="K132" s="8" t="s">
        <v>485</v>
      </c>
      <c r="L132" s="2" t="s">
        <v>20</v>
      </c>
    </row>
    <row r="133" ht="42.0" customHeight="1">
      <c r="A133" s="2">
        <v>3.0</v>
      </c>
      <c r="B133" s="3" t="s">
        <v>488</v>
      </c>
      <c r="C133" s="2" t="s">
        <v>288</v>
      </c>
      <c r="D133" s="2">
        <v>3.0</v>
      </c>
      <c r="E133" s="2">
        <v>3.0</v>
      </c>
      <c r="F133" s="15" t="s">
        <v>121</v>
      </c>
      <c r="G133" s="5" t="s">
        <v>15</v>
      </c>
      <c r="H133" s="13" t="s">
        <v>37</v>
      </c>
      <c r="I133" s="7" t="s">
        <v>122</v>
      </c>
      <c r="J133" s="7" t="s">
        <v>122</v>
      </c>
      <c r="K133" s="8" t="s">
        <v>123</v>
      </c>
      <c r="L133" s="2" t="s">
        <v>20</v>
      </c>
    </row>
    <row r="134" ht="42.0" customHeight="1">
      <c r="A134" s="2">
        <v>3.0</v>
      </c>
      <c r="B134" s="3" t="s">
        <v>489</v>
      </c>
      <c r="C134" s="2" t="s">
        <v>402</v>
      </c>
      <c r="D134" s="2">
        <v>1.0</v>
      </c>
      <c r="E134" s="2">
        <v>4.0</v>
      </c>
      <c r="F134" s="15" t="s">
        <v>121</v>
      </c>
      <c r="G134" s="5" t="s">
        <v>15</v>
      </c>
      <c r="H134" s="6" t="s">
        <v>16</v>
      </c>
      <c r="I134" s="7" t="s">
        <v>490</v>
      </c>
      <c r="J134" s="7" t="s">
        <v>491</v>
      </c>
      <c r="K134" s="8" t="s">
        <v>489</v>
      </c>
      <c r="L134" s="2" t="s">
        <v>20</v>
      </c>
    </row>
    <row r="135" ht="42.0" customHeight="1">
      <c r="A135" s="2">
        <v>3.0</v>
      </c>
      <c r="B135" s="3" t="s">
        <v>492</v>
      </c>
      <c r="C135" s="2" t="s">
        <v>241</v>
      </c>
      <c r="D135" s="2">
        <v>1.0</v>
      </c>
      <c r="E135" s="2">
        <v>1.0</v>
      </c>
      <c r="F135" s="15" t="s">
        <v>121</v>
      </c>
      <c r="G135" s="5" t="s">
        <v>15</v>
      </c>
      <c r="H135" s="13" t="s">
        <v>37</v>
      </c>
      <c r="I135" s="7" t="s">
        <v>493</v>
      </c>
      <c r="J135" s="7" t="s">
        <v>494</v>
      </c>
      <c r="K135" s="8" t="s">
        <v>485</v>
      </c>
      <c r="L135" s="2" t="s">
        <v>20</v>
      </c>
    </row>
    <row r="136" ht="42.0" customHeight="1">
      <c r="A136" s="2">
        <v>3.0</v>
      </c>
      <c r="B136" s="3" t="s">
        <v>495</v>
      </c>
      <c r="C136" s="2" t="s">
        <v>388</v>
      </c>
      <c r="D136" s="2">
        <v>2.0</v>
      </c>
      <c r="E136" s="2">
        <v>3.0</v>
      </c>
      <c r="F136" s="15" t="s">
        <v>121</v>
      </c>
      <c r="G136" s="9" t="s">
        <v>23</v>
      </c>
      <c r="H136" s="6" t="s">
        <v>16</v>
      </c>
      <c r="I136" s="7" t="s">
        <v>496</v>
      </c>
      <c r="J136" s="7"/>
      <c r="K136" s="8" t="s">
        <v>134</v>
      </c>
      <c r="L136" s="2" t="s">
        <v>20</v>
      </c>
    </row>
    <row r="137" ht="42.0" customHeight="1">
      <c r="A137" s="2">
        <v>2.0</v>
      </c>
      <c r="B137" s="3" t="s">
        <v>497</v>
      </c>
      <c r="C137" s="2" t="s">
        <v>236</v>
      </c>
      <c r="D137" s="2">
        <v>2.0</v>
      </c>
      <c r="E137" s="2">
        <v>2.0</v>
      </c>
      <c r="F137" s="4" t="s">
        <v>14</v>
      </c>
      <c r="G137" s="11" t="s">
        <v>30</v>
      </c>
      <c r="H137" s="6" t="s">
        <v>16</v>
      </c>
      <c r="I137" s="7" t="s">
        <v>498</v>
      </c>
      <c r="J137" s="7"/>
      <c r="K137" s="8" t="s">
        <v>81</v>
      </c>
      <c r="L137" s="2" t="s">
        <v>20</v>
      </c>
    </row>
    <row r="138" ht="42.0" customHeight="1">
      <c r="A138" s="2">
        <v>2.0</v>
      </c>
      <c r="B138" s="3" t="s">
        <v>499</v>
      </c>
      <c r="C138" s="2" t="s">
        <v>236</v>
      </c>
      <c r="D138" s="2">
        <v>2.0</v>
      </c>
      <c r="E138" s="2">
        <v>2.0</v>
      </c>
      <c r="F138" s="4" t="s">
        <v>14</v>
      </c>
      <c r="G138" s="9" t="s">
        <v>23</v>
      </c>
      <c r="H138" s="6" t="s">
        <v>16</v>
      </c>
      <c r="I138" s="7" t="s">
        <v>500</v>
      </c>
      <c r="J138" s="7" t="s">
        <v>501</v>
      </c>
      <c r="K138" s="8" t="s">
        <v>502</v>
      </c>
      <c r="L138" s="2" t="s">
        <v>20</v>
      </c>
    </row>
    <row r="139" ht="42.0" customHeight="1">
      <c r="A139" s="2">
        <v>2.0</v>
      </c>
      <c r="B139" s="3" t="s">
        <v>503</v>
      </c>
      <c r="C139" s="2" t="s">
        <v>241</v>
      </c>
      <c r="D139" s="2">
        <v>1.0</v>
      </c>
      <c r="E139" s="2">
        <v>1.0</v>
      </c>
      <c r="F139" s="10" t="s">
        <v>29</v>
      </c>
      <c r="G139" s="5" t="s">
        <v>15</v>
      </c>
      <c r="H139" s="6" t="s">
        <v>16</v>
      </c>
      <c r="I139" s="7" t="s">
        <v>504</v>
      </c>
      <c r="J139" s="7"/>
      <c r="K139" s="8" t="s">
        <v>108</v>
      </c>
      <c r="L139" s="2" t="s">
        <v>20</v>
      </c>
    </row>
    <row r="140" ht="42.0" customHeight="1">
      <c r="A140" s="2">
        <v>2.0</v>
      </c>
      <c r="B140" s="3" t="s">
        <v>505</v>
      </c>
      <c r="C140" s="2" t="s">
        <v>506</v>
      </c>
      <c r="D140" s="2">
        <v>0.0</v>
      </c>
      <c r="E140" s="2">
        <v>3.0</v>
      </c>
      <c r="F140" s="10" t="s">
        <v>29</v>
      </c>
      <c r="G140" s="9" t="s">
        <v>23</v>
      </c>
      <c r="H140" s="6" t="s">
        <v>16</v>
      </c>
      <c r="I140" s="7" t="s">
        <v>507</v>
      </c>
      <c r="J140" s="7" t="s">
        <v>508</v>
      </c>
      <c r="K140" s="8" t="s">
        <v>383</v>
      </c>
      <c r="L140" s="2" t="s">
        <v>20</v>
      </c>
    </row>
    <row r="141" ht="42.0" customHeight="1">
      <c r="A141" s="2">
        <v>2.0</v>
      </c>
      <c r="B141" s="3" t="s">
        <v>509</v>
      </c>
      <c r="C141" s="2" t="s">
        <v>406</v>
      </c>
      <c r="D141" s="2">
        <v>1.0</v>
      </c>
      <c r="E141" s="2">
        <v>2.0</v>
      </c>
      <c r="F141" s="10" t="s">
        <v>29</v>
      </c>
      <c r="G141" s="9" t="s">
        <v>23</v>
      </c>
      <c r="H141" s="13" t="s">
        <v>37</v>
      </c>
      <c r="I141" s="7" t="s">
        <v>510</v>
      </c>
      <c r="J141" s="7" t="s">
        <v>511</v>
      </c>
      <c r="K141" s="8" t="s">
        <v>140</v>
      </c>
      <c r="L141" s="2" t="s">
        <v>20</v>
      </c>
    </row>
    <row r="142" ht="42.0" customHeight="1">
      <c r="A142" s="2">
        <v>2.0</v>
      </c>
      <c r="B142" s="3" t="s">
        <v>512</v>
      </c>
      <c r="C142" s="2" t="s">
        <v>406</v>
      </c>
      <c r="D142" s="2">
        <v>1.0</v>
      </c>
      <c r="E142" s="2">
        <v>2.0</v>
      </c>
      <c r="F142" s="10" t="s">
        <v>29</v>
      </c>
      <c r="G142" s="5" t="s">
        <v>15</v>
      </c>
      <c r="H142" s="6" t="s">
        <v>16</v>
      </c>
      <c r="I142" s="7" t="s">
        <v>510</v>
      </c>
      <c r="J142" s="7" t="s">
        <v>513</v>
      </c>
      <c r="K142" s="8" t="s">
        <v>415</v>
      </c>
      <c r="L142" s="2" t="s">
        <v>20</v>
      </c>
    </row>
    <row r="143" ht="42.0" customHeight="1">
      <c r="A143" s="2">
        <v>2.0</v>
      </c>
      <c r="B143" s="3" t="s">
        <v>514</v>
      </c>
      <c r="C143" s="2" t="s">
        <v>241</v>
      </c>
      <c r="D143" s="2">
        <v>1.0</v>
      </c>
      <c r="E143" s="2">
        <v>1.0</v>
      </c>
      <c r="F143" s="14" t="s">
        <v>51</v>
      </c>
      <c r="G143" s="5" t="s">
        <v>15</v>
      </c>
      <c r="H143" s="6" t="s">
        <v>16</v>
      </c>
      <c r="I143" s="7" t="s">
        <v>515</v>
      </c>
      <c r="J143" s="7"/>
      <c r="K143" s="8" t="s">
        <v>54</v>
      </c>
      <c r="L143" s="2" t="s">
        <v>20</v>
      </c>
    </row>
    <row r="144" ht="42.0" customHeight="1">
      <c r="A144" s="2">
        <v>2.0</v>
      </c>
      <c r="B144" s="3" t="s">
        <v>517</v>
      </c>
      <c r="C144" s="2" t="s">
        <v>241</v>
      </c>
      <c r="D144" s="2">
        <v>1.0</v>
      </c>
      <c r="E144" s="2">
        <v>1.0</v>
      </c>
      <c r="F144" s="14" t="s">
        <v>51</v>
      </c>
      <c r="G144" s="11" t="s">
        <v>30</v>
      </c>
      <c r="H144" s="12" t="s">
        <v>31</v>
      </c>
      <c r="I144" s="7" t="s">
        <v>518</v>
      </c>
      <c r="J144" s="7"/>
      <c r="K144" s="8" t="s">
        <v>190</v>
      </c>
      <c r="L144" s="2" t="s">
        <v>20</v>
      </c>
    </row>
    <row r="145" ht="42.0" customHeight="1">
      <c r="A145" s="2">
        <v>2.0</v>
      </c>
      <c r="B145" s="3" t="s">
        <v>519</v>
      </c>
      <c r="C145" s="2" t="s">
        <v>241</v>
      </c>
      <c r="D145" s="2">
        <v>1.0</v>
      </c>
      <c r="E145" s="2">
        <v>1.0</v>
      </c>
      <c r="F145" s="14" t="s">
        <v>51</v>
      </c>
      <c r="G145" s="9" t="s">
        <v>23</v>
      </c>
      <c r="H145" s="6" t="s">
        <v>16</v>
      </c>
      <c r="I145" s="7" t="s">
        <v>520</v>
      </c>
      <c r="J145" s="7"/>
      <c r="K145" s="8" t="s">
        <v>315</v>
      </c>
      <c r="L145" s="2" t="s">
        <v>20</v>
      </c>
    </row>
    <row r="146" ht="42.0" customHeight="1">
      <c r="A146" s="2">
        <v>2.0</v>
      </c>
      <c r="B146" s="3" t="s">
        <v>522</v>
      </c>
      <c r="C146" s="2" t="s">
        <v>241</v>
      </c>
      <c r="D146" s="2">
        <v>1.0</v>
      </c>
      <c r="E146" s="2">
        <v>1.0</v>
      </c>
      <c r="F146" s="14" t="s">
        <v>51</v>
      </c>
      <c r="G146" s="11" t="s">
        <v>30</v>
      </c>
      <c r="H146" s="6" t="s">
        <v>16</v>
      </c>
      <c r="I146" s="7" t="s">
        <v>523</v>
      </c>
      <c r="J146" s="7" t="s">
        <v>524</v>
      </c>
      <c r="K146" s="8" t="s">
        <v>182</v>
      </c>
      <c r="L146" s="2" t="s">
        <v>20</v>
      </c>
    </row>
    <row r="147" ht="42.0" customHeight="1">
      <c r="A147" s="2">
        <v>2.0</v>
      </c>
      <c r="B147" s="3" t="s">
        <v>525</v>
      </c>
      <c r="C147" s="2" t="s">
        <v>448</v>
      </c>
      <c r="D147" s="2">
        <v>3.0</v>
      </c>
      <c r="E147" s="2">
        <v>2.0</v>
      </c>
      <c r="F147" s="14" t="s">
        <v>51</v>
      </c>
      <c r="G147" s="9" t="s">
        <v>23</v>
      </c>
      <c r="H147" s="13" t="s">
        <v>37</v>
      </c>
      <c r="I147" s="7" t="s">
        <v>526</v>
      </c>
      <c r="J147" s="7" t="s">
        <v>527</v>
      </c>
      <c r="K147" s="8" t="s">
        <v>383</v>
      </c>
      <c r="L147" s="2" t="s">
        <v>20</v>
      </c>
    </row>
    <row r="148" ht="42.0" customHeight="1">
      <c r="A148" s="2">
        <v>2.0</v>
      </c>
      <c r="B148" s="3" t="s">
        <v>528</v>
      </c>
      <c r="C148" s="2" t="s">
        <v>241</v>
      </c>
      <c r="D148" s="2">
        <v>1.0</v>
      </c>
      <c r="E148" s="2">
        <v>1.0</v>
      </c>
      <c r="F148" s="14" t="s">
        <v>51</v>
      </c>
      <c r="G148" s="11" t="s">
        <v>30</v>
      </c>
      <c r="H148" s="6" t="s">
        <v>16</v>
      </c>
      <c r="I148" s="7" t="s">
        <v>529</v>
      </c>
      <c r="J148" s="7" t="s">
        <v>530</v>
      </c>
      <c r="K148" s="8" t="s">
        <v>190</v>
      </c>
      <c r="L148" s="2" t="s">
        <v>20</v>
      </c>
    </row>
    <row r="149" ht="42.0" customHeight="1">
      <c r="A149" s="2">
        <v>2.0</v>
      </c>
      <c r="B149" s="3" t="s">
        <v>531</v>
      </c>
      <c r="C149" s="2" t="s">
        <v>241</v>
      </c>
      <c r="D149" s="2">
        <v>1.0</v>
      </c>
      <c r="E149" s="2">
        <v>1.0</v>
      </c>
      <c r="F149" s="15" t="s">
        <v>121</v>
      </c>
      <c r="G149" s="9" t="s">
        <v>23</v>
      </c>
      <c r="H149" s="13" t="s">
        <v>37</v>
      </c>
      <c r="I149" s="7" t="s">
        <v>532</v>
      </c>
      <c r="J149" s="7"/>
      <c r="K149" s="8" t="s">
        <v>123</v>
      </c>
      <c r="L149" s="2" t="s">
        <v>20</v>
      </c>
    </row>
    <row r="150" ht="42.0" customHeight="1">
      <c r="A150" s="2">
        <v>2.0</v>
      </c>
      <c r="B150" s="3" t="s">
        <v>533</v>
      </c>
      <c r="C150" s="2" t="s">
        <v>236</v>
      </c>
      <c r="D150" s="2">
        <v>2.0</v>
      </c>
      <c r="E150" s="2">
        <v>2.0</v>
      </c>
      <c r="F150" s="15" t="s">
        <v>121</v>
      </c>
      <c r="G150" s="5" t="s">
        <v>15</v>
      </c>
      <c r="H150" s="13" t="s">
        <v>37</v>
      </c>
      <c r="I150" s="7" t="s">
        <v>122</v>
      </c>
      <c r="J150" s="7" t="s">
        <v>534</v>
      </c>
      <c r="K150" s="8" t="s">
        <v>123</v>
      </c>
      <c r="L150" s="2" t="s">
        <v>20</v>
      </c>
    </row>
    <row r="151" ht="42.0" customHeight="1">
      <c r="A151" s="2">
        <v>2.0</v>
      </c>
      <c r="B151" s="3" t="s">
        <v>535</v>
      </c>
      <c r="C151" s="2" t="s">
        <v>536</v>
      </c>
      <c r="D151" s="2">
        <v>0.0</v>
      </c>
      <c r="E151" s="2">
        <v>1.0</v>
      </c>
      <c r="F151" s="15" t="s">
        <v>121</v>
      </c>
      <c r="G151" s="9" t="s">
        <v>23</v>
      </c>
      <c r="H151" s="12" t="s">
        <v>31</v>
      </c>
      <c r="I151" s="7" t="s">
        <v>537</v>
      </c>
      <c r="J151" s="7"/>
      <c r="K151" s="8" t="s">
        <v>538</v>
      </c>
      <c r="L151" s="2" t="s">
        <v>20</v>
      </c>
    </row>
    <row r="152" ht="42.0" customHeight="1">
      <c r="A152" s="2">
        <v>2.0</v>
      </c>
      <c r="B152" s="3" t="s">
        <v>539</v>
      </c>
      <c r="C152" s="2" t="s">
        <v>241</v>
      </c>
      <c r="D152" s="2">
        <v>1.0</v>
      </c>
      <c r="E152" s="2">
        <v>1.0</v>
      </c>
      <c r="F152" s="15" t="s">
        <v>121</v>
      </c>
      <c r="G152" s="9" t="s">
        <v>23</v>
      </c>
      <c r="H152" s="12" t="s">
        <v>31</v>
      </c>
      <c r="I152" s="7" t="s">
        <v>540</v>
      </c>
      <c r="J152" s="7" t="s">
        <v>541</v>
      </c>
      <c r="K152" s="8" t="s">
        <v>326</v>
      </c>
      <c r="L152" s="2" t="s">
        <v>20</v>
      </c>
    </row>
    <row r="153" ht="42.0" customHeight="1">
      <c r="A153" s="2">
        <v>2.0</v>
      </c>
      <c r="B153" s="3" t="s">
        <v>542</v>
      </c>
      <c r="C153" s="2" t="s">
        <v>241</v>
      </c>
      <c r="D153" s="2">
        <v>1.0</v>
      </c>
      <c r="E153" s="2">
        <v>1.0</v>
      </c>
      <c r="F153" s="15" t="s">
        <v>121</v>
      </c>
      <c r="G153" s="11" t="s">
        <v>30</v>
      </c>
      <c r="H153" s="12" t="s">
        <v>31</v>
      </c>
      <c r="I153" s="7" t="s">
        <v>543</v>
      </c>
      <c r="J153" s="7" t="s">
        <v>544</v>
      </c>
      <c r="K153" s="8" t="s">
        <v>545</v>
      </c>
      <c r="L153" s="2" t="s">
        <v>20</v>
      </c>
    </row>
    <row r="154" ht="42.0" customHeight="1">
      <c r="A154" s="2">
        <v>2.0</v>
      </c>
      <c r="B154" s="3" t="s">
        <v>546</v>
      </c>
      <c r="C154" s="2" t="s">
        <v>323</v>
      </c>
      <c r="D154" s="2">
        <v>2.0</v>
      </c>
      <c r="E154" s="2">
        <v>4.0</v>
      </c>
      <c r="F154" s="15" t="s">
        <v>121</v>
      </c>
      <c r="G154" s="9" t="s">
        <v>23</v>
      </c>
      <c r="H154" s="12" t="s">
        <v>31</v>
      </c>
      <c r="I154" s="7" t="s">
        <v>413</v>
      </c>
      <c r="J154" s="7"/>
      <c r="K154" s="8" t="s">
        <v>44</v>
      </c>
      <c r="L154" s="2" t="s">
        <v>20</v>
      </c>
    </row>
    <row r="155" ht="42.0" customHeight="1">
      <c r="A155" s="2">
        <v>2.0</v>
      </c>
      <c r="B155" s="3" t="s">
        <v>547</v>
      </c>
      <c r="C155" s="2" t="s">
        <v>323</v>
      </c>
      <c r="D155" s="2">
        <v>2.0</v>
      </c>
      <c r="E155" s="2">
        <v>4.0</v>
      </c>
      <c r="F155" s="15" t="s">
        <v>121</v>
      </c>
      <c r="G155" s="9" t="s">
        <v>23</v>
      </c>
      <c r="H155" s="13" t="s">
        <v>37</v>
      </c>
      <c r="I155" s="7" t="s">
        <v>548</v>
      </c>
      <c r="J155" s="7"/>
      <c r="K155" s="8" t="s">
        <v>549</v>
      </c>
      <c r="L155" s="2" t="s">
        <v>20</v>
      </c>
    </row>
    <row r="156" ht="42.0" customHeight="1">
      <c r="A156" s="2">
        <v>2.0</v>
      </c>
      <c r="B156" s="3" t="s">
        <v>550</v>
      </c>
      <c r="C156" s="2" t="s">
        <v>241</v>
      </c>
      <c r="D156" s="2">
        <v>1.0</v>
      </c>
      <c r="E156" s="2">
        <v>1.0</v>
      </c>
      <c r="F156" s="15" t="s">
        <v>121</v>
      </c>
      <c r="G156" s="9" t="s">
        <v>23</v>
      </c>
      <c r="H156" s="13" t="s">
        <v>37</v>
      </c>
      <c r="I156" s="7" t="s">
        <v>551</v>
      </c>
      <c r="J156" s="7"/>
      <c r="K156" s="8" t="s">
        <v>326</v>
      </c>
      <c r="L156" s="2" t="s">
        <v>20</v>
      </c>
    </row>
    <row r="157" ht="42.0" customHeight="1">
      <c r="A157" s="2">
        <v>1.0</v>
      </c>
      <c r="B157" s="3" t="s">
        <v>552</v>
      </c>
      <c r="C157" s="2" t="s">
        <v>241</v>
      </c>
      <c r="D157" s="2">
        <v>1.0</v>
      </c>
      <c r="E157" s="2">
        <v>1.0</v>
      </c>
      <c r="F157" s="4" t="s">
        <v>14</v>
      </c>
      <c r="G157" s="9" t="s">
        <v>23</v>
      </c>
      <c r="H157" s="6" t="s">
        <v>16</v>
      </c>
      <c r="I157" s="7" t="s">
        <v>553</v>
      </c>
      <c r="J157" s="7" t="s">
        <v>554</v>
      </c>
      <c r="K157" s="8" t="s">
        <v>552</v>
      </c>
      <c r="L157" s="2" t="s">
        <v>20</v>
      </c>
    </row>
    <row r="158" ht="42.0" customHeight="1">
      <c r="A158" s="2">
        <v>1.0</v>
      </c>
      <c r="B158" s="3" t="s">
        <v>555</v>
      </c>
      <c r="C158" s="2" t="s">
        <v>455</v>
      </c>
      <c r="D158" s="2">
        <v>2.0</v>
      </c>
      <c r="E158" s="2">
        <v>1.0</v>
      </c>
      <c r="F158" s="4" t="s">
        <v>14</v>
      </c>
      <c r="G158" s="9" t="s">
        <v>23</v>
      </c>
      <c r="H158" s="12" t="s">
        <v>31</v>
      </c>
      <c r="I158" s="7" t="s">
        <v>556</v>
      </c>
      <c r="J158" s="7" t="s">
        <v>557</v>
      </c>
      <c r="K158" s="8" t="s">
        <v>54</v>
      </c>
      <c r="L158" s="2" t="s">
        <v>20</v>
      </c>
    </row>
    <row r="159" ht="42.0" customHeight="1">
      <c r="A159" s="2">
        <v>1.0</v>
      </c>
      <c r="B159" s="3" t="s">
        <v>558</v>
      </c>
      <c r="C159" s="2" t="s">
        <v>241</v>
      </c>
      <c r="D159" s="2">
        <v>1.0</v>
      </c>
      <c r="E159" s="2">
        <v>1.0</v>
      </c>
      <c r="F159" s="10" t="s">
        <v>29</v>
      </c>
      <c r="G159" s="9" t="s">
        <v>23</v>
      </c>
      <c r="H159" s="6" t="s">
        <v>16</v>
      </c>
      <c r="I159" s="7" t="s">
        <v>559</v>
      </c>
      <c r="J159" s="7"/>
      <c r="K159" s="8" t="s">
        <v>76</v>
      </c>
      <c r="L159" s="2" t="s">
        <v>20</v>
      </c>
    </row>
    <row r="160" ht="42.0" customHeight="1">
      <c r="A160" s="2">
        <v>1.0</v>
      </c>
      <c r="B160" s="3" t="s">
        <v>560</v>
      </c>
      <c r="C160" s="2" t="s">
        <v>241</v>
      </c>
      <c r="D160" s="2">
        <v>1.0</v>
      </c>
      <c r="E160" s="2">
        <v>1.0</v>
      </c>
      <c r="F160" s="10" t="s">
        <v>29</v>
      </c>
      <c r="G160" s="9" t="s">
        <v>23</v>
      </c>
      <c r="H160" s="6" t="s">
        <v>16</v>
      </c>
      <c r="I160" s="7" t="s">
        <v>561</v>
      </c>
      <c r="J160" s="7" t="s">
        <v>562</v>
      </c>
      <c r="K160" s="8" t="s">
        <v>123</v>
      </c>
      <c r="L160" s="2" t="s">
        <v>20</v>
      </c>
    </row>
    <row r="161" ht="42.0" customHeight="1">
      <c r="A161" s="2">
        <v>1.0</v>
      </c>
      <c r="B161" s="3" t="s">
        <v>563</v>
      </c>
      <c r="C161" s="2" t="s">
        <v>241</v>
      </c>
      <c r="D161" s="2">
        <v>1.0</v>
      </c>
      <c r="E161" s="2">
        <v>1.0</v>
      </c>
      <c r="F161" s="10" t="s">
        <v>29</v>
      </c>
      <c r="G161" s="11" t="s">
        <v>30</v>
      </c>
      <c r="H161" s="12" t="s">
        <v>31</v>
      </c>
      <c r="I161" s="7" t="s">
        <v>564</v>
      </c>
      <c r="J161" s="7"/>
      <c r="K161" s="8" t="s">
        <v>162</v>
      </c>
      <c r="L161" s="2" t="s">
        <v>20</v>
      </c>
    </row>
    <row r="162" ht="42.0" customHeight="1">
      <c r="A162" s="2">
        <v>1.0</v>
      </c>
      <c r="B162" s="3" t="s">
        <v>565</v>
      </c>
      <c r="C162" s="2" t="s">
        <v>241</v>
      </c>
      <c r="D162" s="2">
        <v>1.0</v>
      </c>
      <c r="E162" s="2">
        <v>1.0</v>
      </c>
      <c r="F162" s="10" t="s">
        <v>29</v>
      </c>
      <c r="G162" s="9" t="s">
        <v>23</v>
      </c>
      <c r="H162" s="6" t="s">
        <v>16</v>
      </c>
      <c r="I162" s="7" t="s">
        <v>566</v>
      </c>
      <c r="J162" s="7" t="s">
        <v>567</v>
      </c>
      <c r="K162" s="8" t="s">
        <v>307</v>
      </c>
      <c r="L162" s="2" t="s">
        <v>20</v>
      </c>
    </row>
    <row r="163" ht="42.0" customHeight="1">
      <c r="A163" s="2">
        <v>1.0</v>
      </c>
      <c r="B163" s="3" t="s">
        <v>568</v>
      </c>
      <c r="C163" s="2" t="s">
        <v>241</v>
      </c>
      <c r="D163" s="2">
        <v>1.0</v>
      </c>
      <c r="E163" s="2">
        <v>1.0</v>
      </c>
      <c r="F163" s="14" t="s">
        <v>51</v>
      </c>
      <c r="G163" s="5" t="s">
        <v>15</v>
      </c>
      <c r="H163" s="13" t="s">
        <v>37</v>
      </c>
      <c r="I163" s="7" t="s">
        <v>569</v>
      </c>
      <c r="J163" s="7" t="s">
        <v>570</v>
      </c>
      <c r="K163" s="8" t="s">
        <v>108</v>
      </c>
      <c r="L163" s="2" t="s">
        <v>20</v>
      </c>
    </row>
    <row r="164" ht="42.0" customHeight="1">
      <c r="A164" s="2">
        <v>1.0</v>
      </c>
      <c r="B164" s="3" t="s">
        <v>571</v>
      </c>
      <c r="C164" s="2" t="s">
        <v>241</v>
      </c>
      <c r="D164" s="2">
        <v>1.0</v>
      </c>
      <c r="E164" s="2">
        <v>1.0</v>
      </c>
      <c r="F164" s="14" t="s">
        <v>51</v>
      </c>
      <c r="G164" s="5" t="s">
        <v>15</v>
      </c>
      <c r="H164" s="13" t="s">
        <v>37</v>
      </c>
      <c r="I164" s="7" t="s">
        <v>572</v>
      </c>
      <c r="J164" s="7" t="s">
        <v>573</v>
      </c>
      <c r="K164" s="8" t="s">
        <v>574</v>
      </c>
      <c r="L164" s="2" t="s">
        <v>20</v>
      </c>
    </row>
    <row r="165" ht="42.0" customHeight="1">
      <c r="A165" s="2">
        <v>1.0</v>
      </c>
      <c r="B165" s="3" t="s">
        <v>575</v>
      </c>
      <c r="C165" s="2" t="s">
        <v>406</v>
      </c>
      <c r="D165" s="2">
        <v>1.0</v>
      </c>
      <c r="E165" s="2">
        <v>2.0</v>
      </c>
      <c r="F165" s="14" t="s">
        <v>51</v>
      </c>
      <c r="G165" s="9" t="s">
        <v>23</v>
      </c>
      <c r="H165" s="13" t="s">
        <v>37</v>
      </c>
      <c r="I165" s="7" t="s">
        <v>576</v>
      </c>
      <c r="J165" s="7"/>
      <c r="K165" s="8" t="s">
        <v>577</v>
      </c>
      <c r="L165" s="2" t="s">
        <v>20</v>
      </c>
    </row>
    <row r="166" ht="42.0" customHeight="1">
      <c r="A166" s="2">
        <v>1.0</v>
      </c>
      <c r="B166" s="3" t="s">
        <v>578</v>
      </c>
      <c r="C166" s="2" t="s">
        <v>241</v>
      </c>
      <c r="D166" s="2">
        <v>1.0</v>
      </c>
      <c r="E166" s="2">
        <v>1.0</v>
      </c>
      <c r="F166" s="14" t="s">
        <v>51</v>
      </c>
      <c r="G166" s="11" t="s">
        <v>30</v>
      </c>
      <c r="H166" s="6" t="s">
        <v>16</v>
      </c>
      <c r="I166" s="7" t="s">
        <v>579</v>
      </c>
      <c r="J166" s="7"/>
      <c r="K166" s="8" t="s">
        <v>190</v>
      </c>
      <c r="L166" s="2" t="s">
        <v>20</v>
      </c>
    </row>
    <row r="167" ht="42.0" customHeight="1">
      <c r="A167" s="2">
        <v>1.0</v>
      </c>
      <c r="B167" s="3" t="s">
        <v>580</v>
      </c>
      <c r="C167" s="2" t="s">
        <v>241</v>
      </c>
      <c r="D167" s="2">
        <v>1.0</v>
      </c>
      <c r="E167" s="2">
        <v>1.0</v>
      </c>
      <c r="F167" s="14" t="s">
        <v>51</v>
      </c>
      <c r="G167" s="5" t="s">
        <v>15</v>
      </c>
      <c r="H167" s="6" t="s">
        <v>16</v>
      </c>
      <c r="I167" s="7" t="s">
        <v>581</v>
      </c>
      <c r="J167" s="7" t="s">
        <v>582</v>
      </c>
      <c r="K167" s="8" t="s">
        <v>134</v>
      </c>
      <c r="L167" s="2" t="s">
        <v>20</v>
      </c>
    </row>
    <row r="168" ht="42.0" customHeight="1">
      <c r="A168" s="2">
        <v>1.0</v>
      </c>
      <c r="B168" s="3" t="s">
        <v>583</v>
      </c>
      <c r="C168" s="2" t="s">
        <v>241</v>
      </c>
      <c r="D168" s="2">
        <v>1.0</v>
      </c>
      <c r="E168" s="2">
        <v>1.0</v>
      </c>
      <c r="F168" s="14" t="s">
        <v>51</v>
      </c>
      <c r="G168" s="9" t="s">
        <v>23</v>
      </c>
      <c r="H168" s="13" t="s">
        <v>37</v>
      </c>
      <c r="I168" s="7" t="s">
        <v>584</v>
      </c>
      <c r="J168" s="7" t="s">
        <v>585</v>
      </c>
      <c r="K168" s="8" t="s">
        <v>586</v>
      </c>
      <c r="L168" s="2" t="s">
        <v>20</v>
      </c>
    </row>
    <row r="169" ht="42.0" customHeight="1">
      <c r="A169" s="2">
        <v>1.0</v>
      </c>
      <c r="B169" s="3" t="s">
        <v>587</v>
      </c>
      <c r="C169" s="2" t="s">
        <v>241</v>
      </c>
      <c r="D169" s="2">
        <v>1.0</v>
      </c>
      <c r="E169" s="2">
        <v>1.0</v>
      </c>
      <c r="F169" s="15" t="s">
        <v>121</v>
      </c>
      <c r="G169" s="9" t="s">
        <v>23</v>
      </c>
      <c r="H169" s="13" t="s">
        <v>37</v>
      </c>
      <c r="I169" s="7" t="s">
        <v>122</v>
      </c>
      <c r="J169" s="7" t="s">
        <v>588</v>
      </c>
      <c r="K169" s="8" t="s">
        <v>123</v>
      </c>
      <c r="L169" s="2" t="s">
        <v>20</v>
      </c>
    </row>
    <row r="170" ht="42.0" customHeight="1">
      <c r="A170" s="2">
        <v>1.0</v>
      </c>
      <c r="B170" s="3" t="s">
        <v>589</v>
      </c>
      <c r="C170" s="2" t="s">
        <v>406</v>
      </c>
      <c r="D170" s="2">
        <v>1.0</v>
      </c>
      <c r="E170" s="2">
        <v>2.0</v>
      </c>
      <c r="F170" s="15" t="s">
        <v>121</v>
      </c>
      <c r="G170" s="9" t="s">
        <v>23</v>
      </c>
      <c r="H170" s="12" t="s">
        <v>31</v>
      </c>
      <c r="I170" s="7" t="s">
        <v>353</v>
      </c>
      <c r="J170" s="7" t="s">
        <v>590</v>
      </c>
      <c r="K170" s="8" t="s">
        <v>591</v>
      </c>
      <c r="L170" s="2" t="s">
        <v>20</v>
      </c>
    </row>
    <row r="171" ht="42.0" customHeight="1">
      <c r="A171" s="2">
        <v>1.0</v>
      </c>
      <c r="B171" s="3" t="s">
        <v>592</v>
      </c>
      <c r="C171" s="2" t="s">
        <v>455</v>
      </c>
      <c r="D171" s="2">
        <v>2.0</v>
      </c>
      <c r="E171" s="2">
        <v>1.0</v>
      </c>
      <c r="F171" s="15" t="s">
        <v>121</v>
      </c>
      <c r="G171" s="9" t="s">
        <v>23</v>
      </c>
      <c r="H171" s="12" t="s">
        <v>31</v>
      </c>
      <c r="I171" s="7" t="s">
        <v>353</v>
      </c>
      <c r="J171" s="7"/>
      <c r="K171" s="8" t="s">
        <v>123</v>
      </c>
      <c r="L171" s="2" t="s">
        <v>20</v>
      </c>
    </row>
    <row r="172" ht="42.0" customHeight="1">
      <c r="A172" s="2">
        <v>1.0</v>
      </c>
      <c r="B172" s="3" t="s">
        <v>593</v>
      </c>
      <c r="C172" s="2" t="s">
        <v>241</v>
      </c>
      <c r="D172" s="2">
        <v>1.0</v>
      </c>
      <c r="E172" s="2">
        <v>1.0</v>
      </c>
      <c r="F172" s="15" t="s">
        <v>121</v>
      </c>
      <c r="G172" s="9" t="s">
        <v>23</v>
      </c>
      <c r="H172" s="13" t="s">
        <v>37</v>
      </c>
      <c r="I172" s="7" t="s">
        <v>594</v>
      </c>
      <c r="J172" s="7"/>
      <c r="K172" s="8" t="s">
        <v>355</v>
      </c>
      <c r="L172" s="2" t="s">
        <v>20</v>
      </c>
    </row>
    <row r="173" ht="42.0" customHeight="1">
      <c r="A173" s="2">
        <v>1.0</v>
      </c>
      <c r="B173" s="3" t="s">
        <v>595</v>
      </c>
      <c r="C173" s="2" t="s">
        <v>406</v>
      </c>
      <c r="D173" s="2">
        <v>1.0</v>
      </c>
      <c r="E173" s="2">
        <v>2.0</v>
      </c>
      <c r="F173" s="15" t="s">
        <v>121</v>
      </c>
      <c r="G173" s="9" t="s">
        <v>23</v>
      </c>
      <c r="H173" s="13" t="s">
        <v>37</v>
      </c>
      <c r="I173" s="7" t="s">
        <v>596</v>
      </c>
      <c r="J173" s="7" t="s">
        <v>597</v>
      </c>
      <c r="K173" s="8" t="s">
        <v>63</v>
      </c>
      <c r="L173" s="2" t="s">
        <v>20</v>
      </c>
    </row>
    <row r="174" ht="42.0" customHeight="1">
      <c r="A174" s="2">
        <v>1.0</v>
      </c>
      <c r="B174" s="3" t="s">
        <v>598</v>
      </c>
      <c r="C174" s="2" t="s">
        <v>241</v>
      </c>
      <c r="D174" s="2">
        <v>1.0</v>
      </c>
      <c r="E174" s="2">
        <v>1.0</v>
      </c>
      <c r="F174" s="15" t="s">
        <v>121</v>
      </c>
      <c r="G174" s="9" t="s">
        <v>23</v>
      </c>
      <c r="H174" s="6" t="s">
        <v>16</v>
      </c>
      <c r="I174" s="7" t="s">
        <v>599</v>
      </c>
      <c r="J174" s="7"/>
      <c r="K174" s="8" t="s">
        <v>190</v>
      </c>
      <c r="L174" s="2" t="s">
        <v>20</v>
      </c>
    </row>
    <row r="175" ht="42.0" customHeight="1">
      <c r="A175" s="2">
        <v>1.0</v>
      </c>
      <c r="B175" s="3" t="s">
        <v>600</v>
      </c>
      <c r="C175" s="2" t="s">
        <v>241</v>
      </c>
      <c r="D175" s="2">
        <v>1.0</v>
      </c>
      <c r="E175" s="2">
        <v>1.0</v>
      </c>
      <c r="F175" s="15" t="s">
        <v>121</v>
      </c>
      <c r="G175" s="9" t="s">
        <v>23</v>
      </c>
      <c r="H175" s="13" t="s">
        <v>37</v>
      </c>
      <c r="I175" s="7" t="s">
        <v>309</v>
      </c>
      <c r="J175" s="7"/>
      <c r="K175" s="8" t="s">
        <v>383</v>
      </c>
      <c r="L175" s="2" t="s">
        <v>20</v>
      </c>
    </row>
    <row r="176" ht="42.0" customHeight="1">
      <c r="A176" s="2">
        <v>1.0</v>
      </c>
      <c r="B176" s="3" t="s">
        <v>601</v>
      </c>
      <c r="C176" s="2" t="s">
        <v>241</v>
      </c>
      <c r="D176" s="2">
        <v>1.0</v>
      </c>
      <c r="E176" s="2">
        <v>1.0</v>
      </c>
      <c r="F176" s="15" t="s">
        <v>121</v>
      </c>
      <c r="G176" s="9" t="s">
        <v>23</v>
      </c>
      <c r="H176" s="12" t="s">
        <v>31</v>
      </c>
      <c r="I176" s="7" t="s">
        <v>602</v>
      </c>
      <c r="J176" s="7" t="s">
        <v>603</v>
      </c>
      <c r="K176" s="8" t="s">
        <v>604</v>
      </c>
      <c r="L176" s="2" t="s">
        <v>20</v>
      </c>
    </row>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76"/>
  <conditionalFormatting sqref="A2:E176">
    <cfRule type="expression" dxfId="0" priority="1">
      <formula>MOD(ROW(),2)=0</formula>
    </cfRule>
  </conditionalFormatting>
  <conditionalFormatting sqref="I2:L176">
    <cfRule type="expression" dxfId="0" priority="2">
      <formula>MOD(ROW(),2)=0</formula>
    </cfRule>
  </conditionalFormatting>
  <dataValidations>
    <dataValidation type="decimal" allowBlank="1" sqref="A2:A176">
      <formula1>1.0</formula1>
      <formula2>10.0</formula2>
    </dataValidation>
    <dataValidation type="list" allowBlank="1" sqref="H2:H176">
      <formula1>"Good,Evil,Neutral"</formula1>
    </dataValidation>
    <dataValidation type="list" allowBlank="1" sqref="F2:F176">
      <formula1>"Mythic,Legendary,Epic,Rare"</formula1>
    </dataValidation>
    <dataValidation type="list" allowBlank="1" sqref="G2:G176">
      <formula1>"Magic,Tech,Nature"</formula1>
    </dataValidation>
    <dataValidation type="list" allowBlank="1" sqref="L2:L176">
      <formula1>"✅,⚠️,❌"</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6.43"/>
    <col customWidth="1" min="2" max="2" width="29.14"/>
    <col customWidth="1" min="3" max="3" width="61.86"/>
    <col customWidth="1" min="4" max="4" width="39.57"/>
    <col customWidth="1" min="5" max="5" width="28.71"/>
    <col customWidth="1" min="6" max="26" width="8.71"/>
  </cols>
  <sheetData>
    <row r="1">
      <c r="A1" s="1" t="s">
        <v>0</v>
      </c>
      <c r="B1" s="1" t="s">
        <v>1</v>
      </c>
      <c r="C1" s="1" t="s">
        <v>8</v>
      </c>
      <c r="D1" s="1" t="s">
        <v>9</v>
      </c>
      <c r="E1" s="1" t="s">
        <v>10</v>
      </c>
    </row>
    <row r="2" ht="37.5" customHeight="1">
      <c r="A2" s="16">
        <v>5.0</v>
      </c>
      <c r="B2" s="17" t="s">
        <v>605</v>
      </c>
      <c r="C2" s="7" t="s">
        <v>606</v>
      </c>
      <c r="D2" s="7" t="s">
        <v>607</v>
      </c>
      <c r="E2" s="18" t="s">
        <v>355</v>
      </c>
    </row>
    <row r="3" ht="37.5" customHeight="1">
      <c r="A3" s="16">
        <v>4.0</v>
      </c>
      <c r="B3" s="17" t="s">
        <v>608</v>
      </c>
      <c r="C3" s="7" t="s">
        <v>609</v>
      </c>
      <c r="D3" s="7"/>
      <c r="E3" s="18" t="s">
        <v>71</v>
      </c>
    </row>
    <row r="4" ht="37.5" customHeight="1">
      <c r="A4" s="16">
        <v>4.0</v>
      </c>
      <c r="B4" s="17" t="s">
        <v>610</v>
      </c>
      <c r="C4" s="7" t="s">
        <v>611</v>
      </c>
      <c r="D4" s="7"/>
      <c r="E4" s="18" t="s">
        <v>248</v>
      </c>
    </row>
    <row r="5" ht="37.5" customHeight="1">
      <c r="A5" s="16">
        <v>4.0</v>
      </c>
      <c r="B5" s="17" t="s">
        <v>613</v>
      </c>
      <c r="C5" s="7" t="s">
        <v>614</v>
      </c>
      <c r="D5" s="7" t="s">
        <v>615</v>
      </c>
      <c r="E5" s="18" t="s">
        <v>71</v>
      </c>
    </row>
    <row r="6" ht="37.5" customHeight="1">
      <c r="A6" s="16">
        <v>3.0</v>
      </c>
      <c r="B6" s="17" t="s">
        <v>616</v>
      </c>
      <c r="C6" s="7" t="s">
        <v>617</v>
      </c>
      <c r="D6" s="7"/>
      <c r="E6" s="18" t="s">
        <v>40</v>
      </c>
    </row>
    <row r="7" ht="37.5" customHeight="1">
      <c r="A7" s="16">
        <v>3.0</v>
      </c>
      <c r="B7" s="17" t="s">
        <v>618</v>
      </c>
      <c r="C7" s="7" t="s">
        <v>619</v>
      </c>
      <c r="D7" s="7" t="s">
        <v>620</v>
      </c>
      <c r="E7" s="18" t="s">
        <v>621</v>
      </c>
    </row>
    <row r="8" ht="37.5" customHeight="1">
      <c r="A8" s="16">
        <v>2.0</v>
      </c>
      <c r="B8" s="17" t="s">
        <v>622</v>
      </c>
      <c r="C8" s="7" t="s">
        <v>623</v>
      </c>
      <c r="D8" s="7" t="s">
        <v>624</v>
      </c>
      <c r="E8" s="18" t="s">
        <v>359</v>
      </c>
    </row>
    <row r="9" ht="37.5" customHeight="1">
      <c r="A9" s="16">
        <v>2.0</v>
      </c>
      <c r="B9" s="17" t="s">
        <v>625</v>
      </c>
      <c r="C9" s="7" t="s">
        <v>626</v>
      </c>
      <c r="D9" s="7"/>
      <c r="E9" s="18" t="s">
        <v>355</v>
      </c>
    </row>
    <row r="10" ht="37.5" customHeight="1">
      <c r="A10" s="16">
        <v>2.0</v>
      </c>
      <c r="B10" s="17" t="s">
        <v>627</v>
      </c>
      <c r="C10" s="7" t="s">
        <v>628</v>
      </c>
      <c r="D10" s="7" t="s">
        <v>629</v>
      </c>
      <c r="E10" s="18" t="s">
        <v>140</v>
      </c>
    </row>
    <row r="11" ht="37.5" customHeight="1">
      <c r="A11" s="16">
        <v>2.0</v>
      </c>
      <c r="B11" s="17" t="s">
        <v>630</v>
      </c>
      <c r="C11" s="7" t="s">
        <v>631</v>
      </c>
      <c r="D11" s="7"/>
      <c r="E11" s="18" t="s">
        <v>359</v>
      </c>
    </row>
    <row r="12" ht="37.5" customHeight="1">
      <c r="A12" s="16">
        <v>2.0</v>
      </c>
      <c r="B12" s="17" t="s">
        <v>632</v>
      </c>
      <c r="C12" s="7" t="s">
        <v>633</v>
      </c>
      <c r="D12" s="7" t="s">
        <v>634</v>
      </c>
      <c r="E12" s="18" t="s">
        <v>26</v>
      </c>
    </row>
    <row r="13" ht="37.5" customHeight="1">
      <c r="A13" s="16">
        <v>2.0</v>
      </c>
      <c r="B13" s="17" t="s">
        <v>635</v>
      </c>
      <c r="C13" s="7" t="s">
        <v>636</v>
      </c>
      <c r="D13" s="7" t="s">
        <v>637</v>
      </c>
      <c r="E13" s="18" t="s">
        <v>355</v>
      </c>
    </row>
    <row r="14" ht="37.5" customHeight="1">
      <c r="A14" s="16">
        <v>1.0</v>
      </c>
      <c r="B14" s="17" t="s">
        <v>638</v>
      </c>
      <c r="C14" s="7" t="s">
        <v>639</v>
      </c>
      <c r="D14" s="7"/>
      <c r="E14" s="18" t="s">
        <v>372</v>
      </c>
    </row>
    <row r="15" ht="37.5" customHeight="1">
      <c r="A15" s="16">
        <v>1.0</v>
      </c>
      <c r="B15" s="17" t="s">
        <v>640</v>
      </c>
      <c r="C15" s="7" t="s">
        <v>641</v>
      </c>
      <c r="D15" s="7" t="s">
        <v>642</v>
      </c>
      <c r="E15" s="18" t="s">
        <v>95</v>
      </c>
    </row>
    <row r="16" ht="37.5" customHeight="1">
      <c r="A16" s="16">
        <v>1.0</v>
      </c>
      <c r="B16" s="17" t="s">
        <v>644</v>
      </c>
      <c r="C16" s="7" t="s">
        <v>645</v>
      </c>
      <c r="D16" s="7" t="s">
        <v>646</v>
      </c>
      <c r="E16" s="18" t="s">
        <v>134</v>
      </c>
    </row>
    <row r="17" ht="37.5" customHeight="1">
      <c r="A17" s="16">
        <v>1.0</v>
      </c>
      <c r="B17" s="17" t="s">
        <v>647</v>
      </c>
      <c r="C17" s="7" t="s">
        <v>648</v>
      </c>
      <c r="D17" s="7"/>
      <c r="E17" s="18" t="s">
        <v>95</v>
      </c>
    </row>
    <row r="18" ht="37.5" customHeight="1">
      <c r="A18" s="16">
        <v>1.0</v>
      </c>
      <c r="B18" s="17" t="s">
        <v>649</v>
      </c>
      <c r="C18" s="7" t="s">
        <v>650</v>
      </c>
      <c r="D18" s="7"/>
      <c r="E18" s="18" t="s">
        <v>182</v>
      </c>
    </row>
    <row r="19" ht="37.5" customHeight="1">
      <c r="A19" s="16">
        <v>1.0</v>
      </c>
      <c r="B19" s="17" t="s">
        <v>652</v>
      </c>
      <c r="C19" s="7" t="s">
        <v>653</v>
      </c>
      <c r="D19" s="7" t="s">
        <v>654</v>
      </c>
      <c r="E19" s="18" t="s">
        <v>76</v>
      </c>
    </row>
    <row r="20" ht="37.5" customHeight="1">
      <c r="A20" s="16">
        <v>1.0</v>
      </c>
      <c r="B20" s="17" t="s">
        <v>655</v>
      </c>
      <c r="C20" s="7" t="s">
        <v>656</v>
      </c>
      <c r="D20" s="7" t="s">
        <v>657</v>
      </c>
      <c r="E20" s="18" t="s">
        <v>416</v>
      </c>
    </row>
    <row r="21" ht="37.5" customHeight="1">
      <c r="A21" s="16">
        <v>0.0</v>
      </c>
      <c r="B21" s="17" t="s">
        <v>658</v>
      </c>
      <c r="C21" s="7" t="s">
        <v>659</v>
      </c>
      <c r="D21" s="7" t="s">
        <v>660</v>
      </c>
      <c r="E21" s="18" t="s">
        <v>40</v>
      </c>
    </row>
    <row r="22" ht="37.5" customHeight="1">
      <c r="A22" s="16"/>
      <c r="B22" s="17" t="s">
        <v>661</v>
      </c>
      <c r="C22" s="7" t="s">
        <v>122</v>
      </c>
      <c r="D22" s="7"/>
      <c r="E22" s="18" t="s">
        <v>307</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E$22"/>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0.0"/>
    <col customWidth="1" min="2" max="26" width="8.71"/>
  </cols>
  <sheetData>
    <row r="1" ht="27.75" customHeight="1">
      <c r="A1" s="19" t="s">
        <v>662</v>
      </c>
    </row>
    <row r="3" ht="21.75" customHeight="1">
      <c r="A3" s="20" t="s">
        <v>663</v>
      </c>
    </row>
    <row r="4" ht="79.5" customHeight="1">
      <c r="A4" s="21" t="s">
        <v>664</v>
      </c>
    </row>
    <row r="5" ht="21.75" customHeight="1">
      <c r="A5" s="20" t="s">
        <v>665</v>
      </c>
    </row>
    <row r="6" ht="18.0" customHeight="1">
      <c r="A6" s="21" t="s">
        <v>1</v>
      </c>
    </row>
    <row r="7" ht="18.0" customHeight="1">
      <c r="A7" s="21" t="s">
        <v>666</v>
      </c>
    </row>
    <row r="8" ht="18.0" customHeight="1">
      <c r="A8" s="21" t="s">
        <v>667</v>
      </c>
    </row>
    <row r="9" ht="18.0" customHeight="1">
      <c r="A9" s="21" t="s">
        <v>668</v>
      </c>
    </row>
    <row r="10" ht="18.0" customHeight="1">
      <c r="A10" s="21" t="s">
        <v>669</v>
      </c>
    </row>
    <row r="11" ht="18.0" customHeight="1">
      <c r="A11" s="21" t="s">
        <v>670</v>
      </c>
    </row>
    <row r="12" ht="18.0" customHeight="1">
      <c r="A12" s="21" t="s">
        <v>671</v>
      </c>
    </row>
    <row r="13" ht="18.0" customHeight="1">
      <c r="A13" s="21" t="s">
        <v>672</v>
      </c>
    </row>
    <row r="14" ht="18.0" customHeight="1">
      <c r="A14" s="21" t="s">
        <v>673</v>
      </c>
    </row>
    <row r="15" ht="21.75" customHeight="1">
      <c r="A15" s="20" t="s">
        <v>674</v>
      </c>
    </row>
    <row r="16" ht="18.0" customHeight="1">
      <c r="A16" s="21" t="s">
        <v>675</v>
      </c>
    </row>
    <row r="17" ht="18.0" customHeight="1">
      <c r="A17" s="21" t="s">
        <v>676</v>
      </c>
    </row>
    <row r="18" ht="18.0" customHeight="1">
      <c r="A18" s="21" t="s">
        <v>677</v>
      </c>
    </row>
    <row r="19" ht="18.0" customHeight="1">
      <c r="A19" s="21" t="s">
        <v>678</v>
      </c>
    </row>
    <row r="20" ht="18.0" customHeight="1">
      <c r="A20" s="21" t="s">
        <v>679</v>
      </c>
    </row>
    <row r="21" ht="18.0" customHeight="1">
      <c r="A21" s="21" t="s">
        <v>680</v>
      </c>
    </row>
    <row r="22" ht="31.5" customHeight="1">
      <c r="A22" s="21" t="s">
        <v>681</v>
      </c>
    </row>
    <row r="23" ht="31.5" customHeight="1">
      <c r="A23" s="21" t="s">
        <v>682</v>
      </c>
    </row>
    <row r="24" ht="18.0" customHeight="1">
      <c r="A24" s="21" t="s">
        <v>683</v>
      </c>
    </row>
    <row r="25" ht="21.75" customHeight="1">
      <c r="A25" s="20" t="s">
        <v>684</v>
      </c>
    </row>
    <row r="26" ht="79.5" customHeight="1">
      <c r="A26" s="22" t="s">
        <v>685</v>
      </c>
    </row>
    <row r="27" ht="127.5" customHeight="1">
      <c r="A27" s="21" t="s">
        <v>686</v>
      </c>
    </row>
    <row r="28" ht="31.5" customHeight="1">
      <c r="A28" s="21" t="s">
        <v>687</v>
      </c>
    </row>
    <row r="29" ht="31.5" customHeight="1">
      <c r="A29" s="21" t="s">
        <v>688</v>
      </c>
    </row>
    <row r="30" ht="18.0" customHeight="1">
      <c r="A30" s="21" t="s">
        <v>689</v>
      </c>
    </row>
    <row r="31" ht="48.0" customHeight="1">
      <c r="A31" s="21" t="s">
        <v>690</v>
      </c>
    </row>
    <row r="32" ht="79.5" customHeight="1">
      <c r="A32" s="21" t="s">
        <v>691</v>
      </c>
    </row>
    <row r="33" ht="79.5" customHeight="1">
      <c r="A33" s="21" t="s">
        <v>692</v>
      </c>
    </row>
    <row r="34" ht="63.75" customHeight="1">
      <c r="A34" s="21" t="s">
        <v>693</v>
      </c>
    </row>
    <row r="35" ht="21.75" customHeight="1">
      <c r="A35" s="20" t="s">
        <v>694</v>
      </c>
    </row>
    <row r="36" ht="48.0" customHeight="1">
      <c r="A36" s="21" t="s">
        <v>695</v>
      </c>
    </row>
    <row r="37" ht="31.5" customHeight="1">
      <c r="A37" s="21" t="s">
        <v>696</v>
      </c>
    </row>
    <row r="38" ht="18.0" customHeight="1">
      <c r="A38" s="21" t="s">
        <v>697</v>
      </c>
    </row>
    <row r="39" ht="48.0" customHeight="1">
      <c r="A39" s="21" t="s">
        <v>698</v>
      </c>
    </row>
    <row r="40" ht="18.0" customHeight="1">
      <c r="A40" s="21" t="s">
        <v>699</v>
      </c>
    </row>
    <row r="41" ht="96.0" customHeight="1">
      <c r="A41" s="21" t="s">
        <v>700</v>
      </c>
    </row>
    <row r="42" ht="48.0" customHeight="1">
      <c r="A42" s="21" t="s">
        <v>701</v>
      </c>
    </row>
    <row r="43" ht="18.0" customHeight="1">
      <c r="A43" s="21" t="s">
        <v>702</v>
      </c>
    </row>
    <row r="44" ht="31.5" customHeight="1">
      <c r="A44" s="21" t="s">
        <v>703</v>
      </c>
    </row>
    <row r="45" ht="31.5" customHeight="1">
      <c r="A45" s="21" t="s">
        <v>704</v>
      </c>
    </row>
    <row r="46" ht="31.5" customHeight="1">
      <c r="A46" s="21" t="s">
        <v>705</v>
      </c>
    </row>
    <row r="47" ht="63.75" customHeight="1">
      <c r="A47" s="21" t="s">
        <v>706</v>
      </c>
    </row>
    <row r="48" ht="31.5" customHeight="1">
      <c r="A48" s="21" t="s">
        <v>707</v>
      </c>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2.0"/>
    <col customWidth="1" min="2" max="2" width="12.0"/>
    <col customWidth="1" min="3" max="3" width="4.0"/>
    <col customWidth="1" min="4" max="4" width="22.0"/>
    <col customWidth="1" min="5" max="5" width="12.0"/>
    <col customWidth="1" min="6" max="26" width="8.71"/>
  </cols>
  <sheetData>
    <row r="1">
      <c r="A1" s="23" t="s">
        <v>708</v>
      </c>
      <c r="D1" s="23" t="s">
        <v>709</v>
      </c>
    </row>
    <row r="2">
      <c r="A2" s="24" t="s">
        <v>14</v>
      </c>
      <c r="B2" s="25">
        <f>COUNTIF(Cards!F2:F176,"Mythic")</f>
        <v>20</v>
      </c>
      <c r="D2" s="24" t="s">
        <v>710</v>
      </c>
      <c r="E2" s="25">
        <f>COUNTIF(Cards!A2:A176,10)</f>
        <v>10</v>
      </c>
    </row>
    <row r="3">
      <c r="A3" s="24" t="s">
        <v>29</v>
      </c>
      <c r="B3" s="25">
        <f>COUNTIF(Cards!F2:F176,"Legendary")</f>
        <v>40</v>
      </c>
      <c r="D3" s="24" t="s">
        <v>711</v>
      </c>
      <c r="E3" s="25">
        <f>COUNTIF(Cards!A2:A176,9)</f>
        <v>15</v>
      </c>
    </row>
    <row r="4">
      <c r="A4" s="24" t="s">
        <v>51</v>
      </c>
      <c r="B4" s="25">
        <f>COUNTIF(Cards!F2:F176,"Epic")</f>
        <v>58</v>
      </c>
      <c r="D4" s="24" t="s">
        <v>712</v>
      </c>
      <c r="E4" s="25">
        <f>COUNTIF(Cards!A2:A176,8)</f>
        <v>15</v>
      </c>
    </row>
    <row r="5">
      <c r="A5" s="24" t="s">
        <v>121</v>
      </c>
      <c r="B5" s="25">
        <f>COUNTIF(Cards!F2:F176,"Rare")</f>
        <v>57</v>
      </c>
      <c r="D5" s="24" t="s">
        <v>713</v>
      </c>
      <c r="E5" s="25">
        <f>COUNTIF(Cards!A2:A176,7)</f>
        <v>15</v>
      </c>
    </row>
    <row r="6">
      <c r="A6" s="26" t="s">
        <v>714</v>
      </c>
      <c r="B6" s="27">
        <f>SUM(B2:B5)</f>
        <v>175</v>
      </c>
      <c r="D6" s="24" t="s">
        <v>715</v>
      </c>
      <c r="E6" s="25">
        <f>COUNTIF(Cards!A2:A176,6)</f>
        <v>20</v>
      </c>
    </row>
    <row r="7">
      <c r="D7" s="24" t="s">
        <v>716</v>
      </c>
      <c r="E7" s="25">
        <f>COUNTIF(Cards!A2:A176,5)</f>
        <v>20</v>
      </c>
    </row>
    <row r="8">
      <c r="A8" s="23" t="s">
        <v>717</v>
      </c>
      <c r="D8" s="24" t="s">
        <v>718</v>
      </c>
      <c r="E8" s="25">
        <f>COUNTIF(Cards!A2:A176,4)</f>
        <v>20</v>
      </c>
    </row>
    <row r="9">
      <c r="A9" s="28" t="s">
        <v>30</v>
      </c>
      <c r="B9" s="25">
        <f>COUNTIF(Cards!G2:G176,"Magic")</f>
        <v>78</v>
      </c>
      <c r="D9" s="24" t="s">
        <v>719</v>
      </c>
      <c r="E9" s="25">
        <f>COUNTIF(Cards!A2:A176,3)</f>
        <v>20</v>
      </c>
    </row>
    <row r="10">
      <c r="A10" s="29" t="s">
        <v>15</v>
      </c>
      <c r="B10" s="25">
        <f>COUNTIF(Cards!G2:G176,"Tech")</f>
        <v>32</v>
      </c>
      <c r="D10" s="24" t="s">
        <v>720</v>
      </c>
      <c r="E10" s="25">
        <f>COUNTIF(Cards!A2:A176,2)</f>
        <v>20</v>
      </c>
    </row>
    <row r="11">
      <c r="A11" s="30" t="s">
        <v>23</v>
      </c>
      <c r="B11" s="25">
        <f>COUNTIF(Cards!G2:G176,"Nature")</f>
        <v>65</v>
      </c>
      <c r="D11" s="24" t="s">
        <v>721</v>
      </c>
      <c r="E11" s="25">
        <f>COUNTIF(Cards!A2:A176,1)</f>
        <v>20</v>
      </c>
    </row>
    <row r="13">
      <c r="A13" s="23" t="s">
        <v>722</v>
      </c>
      <c r="D13" s="23" t="s">
        <v>723</v>
      </c>
    </row>
    <row r="14">
      <c r="A14" s="24" t="s">
        <v>724</v>
      </c>
      <c r="B14" s="25">
        <f>COUNTIF(Cards!L2:L176,"✅")</f>
        <v>175</v>
      </c>
      <c r="D14" s="31" t="s">
        <v>16</v>
      </c>
      <c r="E14" s="25">
        <f>COUNTIF(Cards!H2:H176,"Good")</f>
        <v>61</v>
      </c>
    </row>
    <row r="15">
      <c r="A15" s="24" t="s">
        <v>725</v>
      </c>
      <c r="B15" s="25">
        <f>COUNTA(Cards!L2:L176)-COUNTIF(Cards!L2:L176,"✅")</f>
        <v>0</v>
      </c>
      <c r="D15" s="32" t="s">
        <v>31</v>
      </c>
      <c r="E15" s="25">
        <f>COUNTIF(Cards!H2:H176,"Evil")</f>
        <v>53</v>
      </c>
    </row>
    <row r="16">
      <c r="A16" s="24" t="s">
        <v>726</v>
      </c>
      <c r="B16" s="25">
        <f>175-COUNTA(Cards!L2:L176)</f>
        <v>0</v>
      </c>
      <c r="D16" s="33" t="s">
        <v>37</v>
      </c>
      <c r="E16" s="25">
        <f>COUNTIF(Cards!H2:H176,"Neutral")</f>
        <v>61</v>
      </c>
    </row>
    <row r="20">
      <c r="A20" s="34" t="s">
        <v>727</v>
      </c>
    </row>
    <row r="21" ht="15.75" customHeight="1">
      <c r="A21" s="35" t="s">
        <v>728</v>
      </c>
      <c r="B21" s="25">
        <v>175.0</v>
      </c>
    </row>
    <row r="22" ht="15.75" customHeight="1">
      <c r="A22" s="35" t="s">
        <v>729</v>
      </c>
      <c r="B22" s="25">
        <v>21.0</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