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9dd7d14071d47d8" /></Relationships>
</file>

<file path=xl/workbook.xml><?xml version="1.0" encoding="utf-8"?>
<x:workbook xmlns:x="http://schemas.openxmlformats.org/spreadsheetml/2006/main">
  <x:sheets>
    <x:sheet xmlns:r="http://schemas.openxmlformats.org/officeDocument/2006/relationships" name="Cards" sheetId="1" r:id="R72179be287494d1f"/>
    <x:sheet xmlns:r="http://schemas.openxmlformats.org/officeDocument/2006/relationships" name="Relics" sheetId="2" r:id="R27da00817f26489a"/>
    <x:sheet xmlns:r="http://schemas.openxmlformats.org/officeDocument/2006/relationships" name="Rules" sheetId="3" r:id="R55086e4aff6f4ec2"/>
    <x:sheet xmlns:r="http://schemas.openxmlformats.org/officeDocument/2006/relationships" name="Summary" sheetId="4" r:id="R47a1453d82ab4a6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6">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s>
  <x:fills count="5">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s>
  <x:borders count="1">
    <x:border/>
  </x:borders>
  <x:cellStyleXfs count="1">
    <x:xf numFmtId="0" fontId="0" fillId="0" borderId="0"/>
  </x:cellStyleXfs>
  <x:cellXfs count="2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cellXfs>
  <x:cellStyles count="1">
    <x:cellStyle name="Normal" xfId="0"/>
  </x:cellStyles>
  <x:dxfs count="11">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ec8ac52dfc84353" /><Relationship Type="http://schemas.openxmlformats.org/officeDocument/2006/relationships/theme" Target="/xl/theme/theme1.xml" Id="R4c23000a9b344b8b" /><Relationship Type="http://schemas.openxmlformats.org/officeDocument/2006/relationships/sharedStrings" Target="/xl/sharedStrings.xml" Id="R5ad86f2f4f5044c5" /><Relationship Type="http://schemas.openxmlformats.org/officeDocument/2006/relationships/worksheet" Target="/xl/worksheets/sheet1.xml" Id="R72179be287494d1f" /><Relationship Type="http://schemas.openxmlformats.org/officeDocument/2006/relationships/worksheet" Target="/xl/worksheets/sheet2.xml" Id="R27da00817f26489a" /><Relationship Type="http://schemas.openxmlformats.org/officeDocument/2006/relationships/worksheet" Target="/xl/worksheets/sheet3.xml" Id="R55086e4aff6f4ec2" /><Relationship Type="http://schemas.openxmlformats.org/officeDocument/2006/relationships/worksheet" Target="/xl/worksheets/sheet4.xml" Id="R47a1453d82ab4a69" /></Relationships>
</file>

<file path=xl/tables/table1.xml><?xml version="1.0" encoding="utf-8"?>
<x:table xmlns:x="http://schemas.openxmlformats.org/spreadsheetml/2006/main" id="1" name="CardRoster" displayName="CardRoster" ref="A1:L185"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ac9b921c0ff4c37" /></Relationships>
</file>

<file path=xl/worksheets/_rels/sheet2.xml.rels>&#65279;<?xml version="1.0" encoding="utf-8"?><Relationships xmlns="http://schemas.openxmlformats.org/package/2006/relationships"><Relationship Type="http://schemas.openxmlformats.org/officeDocument/2006/relationships/table" Target="/xl/tables/table2.xml" Id="R7b35a0324bad4c1e"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Legendary</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Goku</x:v>
      </x:c>
      <x:c r="C7" s="24" t="str">
        <x:f>D7&amp;"/"&amp;E7</x:f>
        <x:v>6/7</x:v>
      </x:c>
      <x:c r="D7" s="22" t="n">
        <x:v>6</x:v>
      </x:c>
      <x:c r="E7" s="22" t="n">
        <x:v>7</x:v>
      </x:c>
      <x:c r="F7" s="24" t="str">
        <x:v>Epic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Clone</x:v>
      </x:c>
      <x:c r="C8" s="23" t="str">
        <x:f>D8&amp;"/"&amp;E8</x:f>
        <x:v>1/1</x:v>
      </x:c>
      <x:c r="D8" s="21" t="n">
        <x:v>1</x:v>
      </x:c>
      <x:c r="E8" s="21" t="n">
        <x:v>1</x:v>
      </x:c>
      <x:c r="F8" s="23" t="str">
        <x:v>Epic</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9/10</x:v>
      </x:c>
      <x:c r="D10" s="21" t="n">
        <x:v>9</x:v>
      </x:c>
      <x:c r="E10" s="21" t="n">
        <x:v>10</x:v>
      </x:c>
      <x:c r="F10" s="23" t="str">
        <x:v>Legendary</x:v>
      </x:c>
      <x:c r="G10" s="23" t="str">
        <x:v>Magic</x:v>
      </x:c>
      <x:c r="H10" s="23" t="str">
        <x:v>Evil</x:v>
      </x:c>
      <x:c r="I10" s="13" t="str">
        <x:v>Battlecry: Each player destroys a random other minion and discards a random card</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Epic</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Legendary</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4" customHeight="1">
      <x:c r="A19" s="22" t="n">
        <x:v>9</x:v>
      </x:c>
      <x:c r="B19" s="19" t="str">
        <x:v>Gojo</x:v>
      </x:c>
      <x:c r="C19" s="24" t="str">
        <x:f>D19&amp;"/"&amp;E19</x:f>
        <x:v>4/8</x:v>
      </x:c>
      <x:c r="D19" s="22" t="n">
        <x:v>4</x:v>
      </x:c>
      <x:c r="E19" s="22" t="n">
        <x:v>8</x:v>
      </x:c>
      <x:c r="F19" s="24" t="str">
        <x:v>Legendary</x:v>
      </x:c>
      <x:c r="G19" s="24" t="str">
        <x:v>Magic</x:v>
      </x:c>
      <x:c r="H19" s="24" t="str">
        <x:v>Good</x:v>
      </x:c>
      <x:c r="I19" s="18" t="str">
        <x:v>Passive: All enemy minions are temporarily silenced (until Gojo dies)</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3 or more friendly minions are on the board, return them to your hand and set Mob's stats to 12/12</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Epic</x:v>
      </x:c>
      <x:c r="G23" s="24" t="str">
        <x:v>Magic</x:v>
      </x:c>
      <x:c r="H23" s="24" t="str">
        <x:v>Neutral</x:v>
      </x:c>
      <x:c r="I23" s="18" t="str">
        <x:v>Battlecry: All your other minions gain a random Ascension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3/8</x:v>
      </x:c>
      <x:c r="D25" s="22" t="n">
        <x:v>3</x:v>
      </x:c>
      <x:c r="E25" s="22" t="n">
        <x:v>8</x:v>
      </x:c>
      <x:c r="F25" s="24" t="str">
        <x:v>Epic</x:v>
      </x:c>
      <x:c r="G25" s="24" t="str">
        <x:v>Tech</x:v>
      </x:c>
      <x:c r="H25" s="24" t="str">
        <x:v>Good</x:v>
      </x:c>
      <x:c r="I25" s="18" t="str">
        <x:v>Passive: Deal triple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Ascension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Ascension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Mythic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4/3</x:v>
      </x:c>
      <x:c r="D33" s="22" t="n">
        <x:v>4</x:v>
      </x:c>
      <x:c r="E33" s="22" t="n">
        <x:v>3</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Legendary</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Epic</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Epic</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Epic</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Legendary</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Epic</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Magic</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2" customHeight="1">
      <x:c r="A49" s="22" t="n">
        <x:v>7</x:v>
      </x:c>
      <x:c r="B49" s="19" t="str">
        <x:v>Godzilla</x:v>
      </x:c>
      <x:c r="C49" s="24" t="str">
        <x:f>D49&amp;"/"&amp;E49</x:f>
        <x:v>4/5</x:v>
      </x:c>
      <x:c r="D49" s="22" t="n">
        <x:v>4</x:v>
      </x:c>
      <x:c r="E49" s="22" t="n">
        <x:v>5</x:v>
      </x:c>
      <x:c r="F49" s="24" t="str">
        <x:v>Rare</x:v>
      </x:c>
      <x:c r="G49" s="24" t="str">
        <x:v>Nature</x:v>
      </x:c>
      <x:c r="H49" s="24" t="str">
        <x:v>Neutral</x:v>
      </x:c>
      <x:c r="I49" s="18" t="str">
        <x:v>Passive: Deal 2 damage to all enemies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Legendary</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Epic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friendly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Epic</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Mythic</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Epic</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Rare</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4"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Ascension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3/3</x:v>
      </x:c>
      <x:c r="D68" s="21" t="n">
        <x:v>3</x:v>
      </x:c>
      <x:c r="E68" s="21" t="n">
        <x:v>3</x:v>
      </x:c>
      <x:c r="F68" s="23" t="str">
        <x:v>Mythic</x:v>
      </x:c>
      <x:c r="G68" s="23" t="str">
        <x:v>Magic</x:v>
      </x:c>
      <x:c r="H68" s="23" t="str">
        <x:v>Evil</x:v>
      </x:c>
      <x:c r="I68" s="13" t="str">
        <x:v>Battlecry: Destroy an enemy Nature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5/3</x:v>
      </x:c>
      <x:c r="D72" s="21" t="n">
        <x:v>5</x:v>
      </x:c>
      <x:c r="E72" s="21" t="n">
        <x:v>3</x:v>
      </x:c>
      <x:c r="F72" s="23" t="str">
        <x:v>Epic</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Rare</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Epic</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Thirteen Lords of Chaos</x:v>
      </x:c>
      <x:c r="C75" s="24" t="str">
        <x:f>D75&amp;"/"&amp;E75</x:f>
        <x:v>4/2</x:v>
      </x:c>
      <x:c r="D75" s="22" t="n">
        <x:v>4</x:v>
      </x:c>
      <x:c r="E75" s="22" t="n">
        <x:v>2</x:v>
      </x:c>
      <x:c r="F75" s="24" t="str">
        <x:v>Epic</x:v>
      </x:c>
      <x:c r="G75" s="24" t="str">
        <x:v>Magic</x:v>
      </x:c>
      <x:c r="H75" s="24" t="str">
        <x:v>Evil</x:v>
      </x:c>
      <x:c r="I75" s="18" t="str">
        <x:v>Deathrattle: Summon Drakath (5/3)</x:v>
      </x:c>
      <x:c r="J75" s="18" t="str">
        <x:v>Reality picks a side.</x:v>
      </x:c>
      <x:c r="K75" s="18" t="str">
        <x:v>AQW</x:v>
      </x:c>
      <x:c r="L75" s="17" t="str">
        <x:v>c011</x:v>
      </x:c>
    </x:row>
    <x:row r="76" ht="42" customHeight="1">
      <x:c r="A76" s="21" t="n">
        <x:v>6</x:v>
      </x:c>
      <x:c r="B76" s="14" t="str">
        <x:v>Toji</x:v>
      </x:c>
      <x:c r="C76" s="23" t="str">
        <x:f>D76&amp;"/"&amp;E76</x:f>
        <x:v>5/3</x:v>
      </x:c>
      <x:c r="D76" s="21" t="n">
        <x:v>5</x:v>
      </x:c>
      <x:c r="E76" s="21" t="n">
        <x:v>3</x:v>
      </x:c>
      <x:c r="F76" s="23" t="str">
        <x:v>Epic</x:v>
      </x:c>
      <x:c r="G76" s="23" t="str">
        <x:v>Nature</x:v>
      </x:c>
      <x:c r="H76" s="23" t="str">
        <x:v>Neutral</x:v>
      </x:c>
      <x:c r="I76" s="13" t="str">
        <x:v>Passive: Immune to Magic minions</x:v>
      </x:c>
      <x:c r="J76" s="13" t="str">
        <x:v>No magic. No mercy.</x:v>
      </x:c>
      <x:c r="K76" s="13" t="str">
        <x:v>Jujutsu Kaisen</x:v>
      </x:c>
      <x:c r="L76" s="12" t="str">
        <x:v>c040</x:v>
      </x:c>
    </x:row>
    <x:row r="77" ht="42" customHeight="1">
      <x:c r="A77" s="22" t="n">
        <x:v>6</x:v>
      </x:c>
      <x:c r="B77" s="19" t="str">
        <x:v>UFO</x:v>
      </x:c>
      <x:c r="C77" s="24" t="str">
        <x:f>D77&amp;"/"&amp;E77</x:f>
        <x:v>3/3</x:v>
      </x:c>
      <x:c r="D77" s="22" t="n">
        <x:v>3</x:v>
      </x:c>
      <x:c r="E77" s="22" t="n">
        <x:v>3</x:v>
      </x:c>
      <x:c r="F77" s="24" t="str">
        <x:v>Rare</x:v>
      </x:c>
      <x:c r="G77" s="24" t="str">
        <x:v>Tech</x:v>
      </x:c>
      <x:c r="H77" s="24" t="str">
        <x:v>Neutral</x:v>
      </x:c>
      <x:c r="I77" s="18" t="str">
        <x:v>Divine Shield</x:v>
      </x:c>
      <x:c r="J77" s="18" t="str">
        <x:v>-</x:v>
      </x:c>
      <x:c r="K77" s="18" t="str">
        <x:v>Basic</x:v>
      </x:c>
      <x:c r="L77" s="17" t="str">
        <x:v>c092</x:v>
      </x:c>
    </x:row>
    <x:row r="78" ht="44" customHeight="1">
      <x:c r="A78" s="21" t="n">
        <x:v>5</x:v>
      </x:c>
      <x:c r="B78" s="14" t="str">
        <x:v>Buddha</x:v>
      </x:c>
      <x:c r="C78" s="23" t="str">
        <x:f>D78&amp;"/"&amp;E78</x:f>
        <x:v>3/4</x:v>
      </x:c>
      <x:c r="D78" s="21" t="n">
        <x:v>3</x:v>
      </x:c>
      <x:c r="E78" s="21" t="n">
        <x:v>4</x:v>
      </x:c>
      <x:c r="F78" s="23" t="str">
        <x:v>Legendary</x:v>
      </x:c>
      <x:c r="G78" s="23" t="str">
        <x:v>Magic</x:v>
      </x:c>
      <x:c r="H78" s="23" t="str">
        <x:v>Good</x:v>
      </x:c>
      <x:c r="I78" s="13" t="str">
        <x:v>Battlecry: All minions become Good type. Clear Chained, Frozen, Silenced and Marked from every minion on the board</x:v>
      </x:c>
      <x:c r="J78" s="13" t="str">
        <x:v>Peace.</x:v>
      </x:c>
      <x:c r="K78" s="13" t="str">
        <x:v>Record of Ragnarok</x:v>
      </x:c>
      <x:c r="L78" s="12" t="str">
        <x:v>c038</x:v>
      </x:c>
    </x:row>
    <x:row r="79" ht="42" customHeight="1">
      <x:c r="A79" s="22" t="n">
        <x:v>5</x:v>
      </x:c>
      <x:c r="B79" s="19" t="str">
        <x:v>Carrier Strike Group</x:v>
      </x:c>
      <x:c r="C79" s="24" t="str">
        <x:f>D79&amp;"/"&amp;E79</x:f>
        <x:v>1/5</x:v>
      </x:c>
      <x:c r="D79" s="22" t="n">
        <x:v>1</x:v>
      </x:c>
      <x:c r="E79" s="22" t="n">
        <x:v>5</x:v>
      </x:c>
      <x:c r="F79" s="24" t="str">
        <x:v>Rare</x:v>
      </x:c>
      <x:c r="G79" s="24" t="str">
        <x:v>Tech</x:v>
      </x:c>
      <x:c r="H79" s="24" t="str">
        <x:v>Neutral</x:v>
      </x:c>
      <x:c r="I79" s="18" t="str">
        <x:v>Passive: Enemy Tech minions cannot attack</x:v>
      </x:c>
      <x:c r="J79" s="18" t="str">
        <x:v>The horizon belongs to the fleet.</x:v>
      </x:c>
      <x:c r="K79" s="18" t="str">
        <x:v>Basic</x:v>
      </x:c>
      <x:c r="L79" s="17" t="str">
        <x:v>c187</x:v>
      </x:c>
    </x:row>
    <x:row r="80" ht="42" customHeight="1">
      <x:c r="A80" s="21" t="n">
        <x:v>5</x:v>
      </x:c>
      <x:c r="B80" s="14" t="str">
        <x:v>Chaos</x:v>
      </x:c>
      <x:c r="C80" s="23" t="str">
        <x:f>D80&amp;"/"&amp;E80</x:f>
        <x:v>1/1</x:v>
      </x:c>
      <x:c r="D80" s="21" t="n">
        <x:v>1</x:v>
      </x:c>
      <x:c r="E80" s="21" t="n">
        <x:v>1</x:v>
      </x:c>
      <x:c r="F80" s="23" t="str">
        <x:v>Epic</x:v>
      </x:c>
      <x:c r="G80" s="23" t="str">
        <x:v>Magic</x:v>
      </x:c>
      <x:c r="H80" s="23" t="str">
        <x:v>Neutral</x:v>
      </x:c>
      <x:c r="I80" s="13" t="str">
        <x:v>Battlecry: Summon a random minion from your deck</x:v>
      </x:c>
      <x:c r="J80" s="13" t="str">
        <x:v>He gives gifts. He never mentions the cost</x:v>
      </x:c>
      <x:c r="K80" s="13" t="str">
        <x:v>Hades</x:v>
      </x:c>
      <x:c r="L80" s="12" t="str">
        <x:v>c061</x:v>
      </x:c>
    </x:row>
    <x:row r="81" ht="42" customHeight="1">
      <x:c r="A81" s="22" t="n">
        <x:v>5</x:v>
      </x:c>
      <x:c r="B81" s="19" t="str">
        <x:v>Darth Vader</x:v>
      </x:c>
      <x:c r="C81" s="24" t="str">
        <x:f>D81&amp;"/"&amp;E81</x:f>
        <x:v>3/2</x:v>
      </x:c>
      <x:c r="D81" s="22" t="n">
        <x:v>3</x:v>
      </x:c>
      <x:c r="E81" s="22" t="n">
        <x:v>2</x:v>
      </x:c>
      <x:c r="F81" s="24" t="str">
        <x:v>Epic</x:v>
      </x:c>
      <x:c r="G81" s="24" t="str">
        <x:v>Magic</x:v>
      </x:c>
      <x:c r="H81" s="24" t="str">
        <x:v>Evil</x:v>
      </x:c>
      <x:c r="I81" s="18" t="str">
        <x:v>Battlecry: Choose an enemy minion. Set its ATK to 1 and Chain it</x:v>
      </x:c>
      <x:c r="J81" s="18" t="str">
        <x:v>Reborn.</x:v>
      </x:c>
      <x:c r="K81" s="18" t="str">
        <x:v>Star Wars</x:v>
      </x:c>
      <x:c r="L81" s="17" t="str">
        <x:v>c029</x:v>
      </x:c>
    </x:row>
    <x:row r="82" ht="42" customHeight="1">
      <x:c r="A82" s="21" t="n">
        <x:v>5</x:v>
      </x:c>
      <x:c r="B82" s="14" t="str">
        <x:v>Dio Brando</x:v>
      </x:c>
      <x:c r="C82" s="23" t="str">
        <x:f>D82&amp;"/"&amp;E82</x:f>
        <x:v>3/2</x:v>
      </x:c>
      <x:c r="D82" s="21" t="n">
        <x:v>3</x:v>
      </x:c>
      <x:c r="E82" s="21" t="n">
        <x:v>2</x:v>
      </x:c>
      <x:c r="F82" s="23" t="str">
        <x:v>Legendary</x:v>
      </x:c>
      <x:c r="G82" s="23" t="str">
        <x:v>Magic</x:v>
      </x:c>
      <x:c r="H82" s="23" t="str">
        <x:v>Evil</x:v>
      </x:c>
      <x:c r="I82" s="13" t="str">
        <x:v>Battlecry: Freeze all enemy minions</x:v>
      </x:c>
      <x:c r="J82" s="13" t="str">
        <x:v>THE WORLD</x:v>
      </x:c>
      <x:c r="K82" s="13" t="str">
        <x:v>JoJo</x:v>
      </x:c>
      <x:c r="L82" s="12" t="str">
        <x:v>c096</x:v>
      </x:c>
    </x:row>
    <x:row r="83" ht="42" customHeight="1">
      <x:c r="A83" s="22" t="n">
        <x:v>5</x:v>
      </x:c>
      <x:c r="B83" s="19" t="str">
        <x:v>Dragon</x:v>
      </x:c>
      <x:c r="C83" s="24" t="str">
        <x:f>D83&amp;"/"&amp;E83</x:f>
        <x:v>3/5</x:v>
      </x:c>
      <x:c r="D83" s="22" t="n">
        <x:v>3</x:v>
      </x:c>
      <x:c r="E83" s="22" t="n">
        <x:v>5</x:v>
      </x:c>
      <x:c r="F83" s="24" t="str">
        <x:v>Rare</x:v>
      </x:c>
      <x:c r="G83" s="24" t="str">
        <x:v>Nature</x:v>
      </x:c>
      <x:c r="H83" s="24" t="str">
        <x:v>Neutral</x:v>
      </x:c>
      <x:c r="I83" s="18" t="str">
        <x:v>Taunt</x:v>
      </x:c>
      <x:c r="J83" s="18" t="str">
        <x:v>ROAR</x:v>
      </x:c>
      <x:c r="K83" s="18" t="str">
        <x:v>Myth</x:v>
      </x:c>
      <x:c r="L83" s="17" t="str">
        <x:v>c102</x:v>
      </x:c>
    </x:row>
    <x:row r="84" ht="44" customHeight="1">
      <x:c r="A84" s="21" t="n">
        <x:v>5</x:v>
      </x:c>
      <x:c r="B84" s="14" t="str">
        <x:v>Dumbledore</x:v>
      </x:c>
      <x:c r="C84" s="23" t="str">
        <x:f>D84&amp;"/"&amp;E84</x:f>
        <x:v>2/4</x:v>
      </x:c>
      <x:c r="D84" s="21" t="n">
        <x:v>2</x:v>
      </x:c>
      <x:c r="E84" s="21" t="n">
        <x:v>4</x:v>
      </x:c>
      <x:c r="F84" s="23" t="str">
        <x:v>Rare</x:v>
      </x:c>
      <x:c r="G84" s="23" t="str">
        <x:v>Magic</x:v>
      </x:c>
      <x:c r="H84" s="23" t="str">
        <x:v>Good</x:v>
      </x:c>
      <x:c r="I84" s="13" t="str">
        <x:v>Passive: Friendly minions cannot be Silenced, Frozen, or Chained. Undo any such curses</x:v>
      </x:c>
      <x:c r="J84" s="13" t="str">
        <x:v>He always asks calmly.</x:v>
      </x:c>
      <x:c r="K84" s="13" t="str">
        <x:v>Harry Potter</x:v>
      </x:c>
      <x:c r="L84" s="12" t="str">
        <x:v>c030</x:v>
      </x:c>
    </x:row>
    <x:row r="85" ht="42" customHeight="1">
      <x:c r="A85" s="22" t="n">
        <x:v>5</x:v>
      </x:c>
      <x:c r="B85" s="19" t="str">
        <x:v>Fire Lord Ozai</x:v>
      </x:c>
      <x:c r="C85" s="24" t="str">
        <x:f>D85&amp;"/"&amp;E85</x:f>
        <x:v>3/3</x:v>
      </x:c>
      <x:c r="D85" s="22" t="n">
        <x:v>3</x:v>
      </x:c>
      <x:c r="E85" s="22" t="n">
        <x:v>3</x:v>
      </x:c>
      <x:c r="F85" s="24" t="str">
        <x:v>Epic</x:v>
      </x:c>
      <x:c r="G85" s="24" t="str">
        <x:v>Magic</x:v>
      </x:c>
      <x:c r="H85" s="24" t="str">
        <x:v>Evil</x:v>
      </x:c>
      <x:c r="I85" s="18" t="str">
        <x:v>Battlecry: Deal 2 damage to all other minions</x:v>
      </x:c>
      <x:c r="J85" s="18" t="str">
        <x:v>Entitlement</x:v>
      </x:c>
      <x:c r="K85" s="18" t="str">
        <x:v>Avatar</x:v>
      </x:c>
      <x:c r="L85" s="17" t="str">
        <x:v>c099</x:v>
      </x:c>
    </x:row>
    <x:row r="86" ht="44" customHeight="1">
      <x:c r="A86" s="21" t="n">
        <x:v>5</x:v>
      </x:c>
      <x:c r="B86" s="14" t="str">
        <x:v>GLaDOS</x:v>
      </x:c>
      <x:c r="C86" s="23" t="str">
        <x:f>D86&amp;"/"&amp;E86</x:f>
        <x:v>2/3</x:v>
      </x:c>
      <x:c r="D86" s="21" t="n">
        <x:v>2</x:v>
      </x:c>
      <x:c r="E86" s="21" t="n">
        <x:v>3</x:v>
      </x:c>
      <x:c r="F86" s="23" t="str">
        <x:v>Legendary</x:v>
      </x:c>
      <x:c r="G86" s="23" t="str">
        <x:v>Tech</x:v>
      </x:c>
      <x:c r="H86" s="23" t="str">
        <x:v>Evil</x:v>
      </x:c>
      <x:c r="I86" s="13" t="str">
        <x:v>Cannot attack. Passive: Adjacent friendly Tech minions have Taunt and +2/+2</x:v>
      </x:c>
      <x:c r="J86" s="13" t="str">
        <x:v>The test continues</x:v>
      </x:c>
      <x:c r="K86" s="13" t="str">
        <x:v>Portal</x:v>
      </x:c>
      <x:c r="L86" s="12" t="str">
        <x:v>c104</x:v>
      </x:c>
    </x:row>
    <x:row r="87" ht="44" customHeight="1">
      <x:c r="A87" s="22" t="n">
        <x:v>5</x:v>
      </x:c>
      <x:c r="B87" s="19" t="str">
        <x:v>Grand Master Oogway</x:v>
      </x:c>
      <x:c r="C87" s="24" t="str">
        <x:f>D87&amp;"/"&amp;E87</x:f>
        <x:v>2/2</x:v>
      </x:c>
      <x:c r="D87" s="22" t="n">
        <x:v>2</x:v>
      </x:c>
      <x:c r="E87" s="22" t="n">
        <x:v>2</x:v>
      </x:c>
      <x:c r="F87" s="24" t="str">
        <x:v>Mythic</x:v>
      </x:c>
      <x:c r="G87" s="24" t="str">
        <x:v>Magic</x:v>
      </x:c>
      <x:c r="H87" s="24" t="str">
        <x:v>Good</x:v>
      </x:c>
      <x:c r="I87" s="18" t="str">
        <x:v>Divine Shield. Passive: Once per turn, when another friendly minion would die, return it to your hand instead and Chain Oogway</x:v>
      </x:c>
      <x:c r="J87" s="18" t="str">
        <x:v>Patience</x:v>
      </x:c>
      <x:c r="K87" s="18" t="str">
        <x:v>Kung-Fu Panda</x:v>
      </x:c>
      <x:c r="L87" s="17" t="str">
        <x:v>c094</x:v>
      </x:c>
    </x:row>
    <x:row r="88" ht="44" customHeight="1">
      <x:c r="A88" s="21" t="n">
        <x:v>5</x:v>
      </x:c>
      <x:c r="B88" s="14" t="str">
        <x:v>Kojiro Sasaki</x:v>
      </x:c>
      <x:c r="C88" s="23" t="str">
        <x:f>D88&amp;"/"&amp;E88</x:f>
        <x:v>2/2</x:v>
      </x:c>
      <x:c r="D88" s="21" t="n">
        <x:v>2</x:v>
      </x:c>
      <x:c r="E88" s="21" t="n">
        <x:v>2</x:v>
      </x:c>
      <x:c r="F88" s="23" t="str">
        <x:v>Mythic</x:v>
      </x:c>
      <x:c r="G88" s="23" t="str">
        <x:v>Nature</x:v>
      </x:c>
      <x:c r="H88" s="23" t="str">
        <x:v>Good</x:v>
      </x:c>
      <x:c r="I88" s="13" t="str">
        <x:v>Passive: All friendly minions have +33% chance to evade an attack</x:v>
      </x:c>
      <x:c r="J88" s="13" t="str">
        <x:v>Spending infinity in the Astral made him on par with the Gods</x:v>
      </x:c>
      <x:c r="K88" s="13" t="str">
        <x:v>RoR</x:v>
      </x:c>
      <x:c r="L88" s="12" t="str">
        <x:v>c095</x:v>
      </x:c>
    </x:row>
    <x:row r="89" ht="44" customHeight="1">
      <x:c r="A89" s="22" t="n">
        <x:v>5</x:v>
      </x:c>
      <x:c r="B89" s="19" t="str">
        <x:v>Kuma</x:v>
      </x:c>
      <x:c r="C89" s="24" t="str">
        <x:f>D89&amp;"/"&amp;E89</x:f>
        <x:v>3/3</x:v>
      </x:c>
      <x:c r="D89" s="22" t="n">
        <x:v>3</x:v>
      </x:c>
      <x:c r="E89" s="22" t="n">
        <x:v>3</x:v>
      </x:c>
      <x:c r="F89" s="24" t="str">
        <x:v>Epic</x:v>
      </x:c>
      <x:c r="G89" s="24" t="str">
        <x:v>Tech</x:v>
      </x:c>
      <x:c r="H89" s="24" t="str">
        <x:v>Good</x:v>
      </x:c>
      <x:c r="I89" s="18" t="str">
        <x:v>Battlecry: Return a friendly minion to your hand. It costs 5 less the next time it is played this game</x:v>
      </x:c>
      <x:c r="J89" s="18" t="str">
        <x:v>Weapon</x:v>
      </x:c>
      <x:c r="K89" s="18" t="str">
        <x:v>One Piece</x:v>
      </x:c>
      <x:c r="L89" s="17" t="str">
        <x:v>c133</x:v>
      </x:c>
    </x:row>
    <x:row r="90" ht="44" customHeight="1">
      <x:c r="A90" s="21" t="n">
        <x:v>5</x:v>
      </x:c>
      <x:c r="B90" s="14" t="str">
        <x:v>One-Eyed Owl</x:v>
      </x:c>
      <x:c r="C90" s="23" t="str">
        <x:f>D90&amp;"/"&amp;E90</x:f>
        <x:v>4/4</x:v>
      </x:c>
      <x:c r="D90" s="21" t="n">
        <x:v>4</x:v>
      </x:c>
      <x:c r="E90" s="21" t="n">
        <x:v>4</x:v>
      </x:c>
      <x:c r="F90" s="23" t="str">
        <x:v>Epic</x:v>
      </x:c>
      <x:c r="G90" s="23" t="str">
        <x:v>Nature</x:v>
      </x:c>
      <x:c r="H90" s="23" t="str">
        <x:v>Evil</x:v>
      </x:c>
      <x:c r="I90" s="13" t="str">
        <x:v>Passive: Whenever a minion becomes Chained, Frozen or Silenced, gain +1/+1</x:v>
      </x:c>
      <x:c r="J90" s="13" t="str">
        <x:v>All seeing eye</x:v>
      </x:c>
      <x:c r="K90" s="13" t="str">
        <x:v>Tokyo Ghoul</x:v>
      </x:c>
      <x:c r="L90" s="12" t="str">
        <x:v>c115</x:v>
      </x:c>
    </x:row>
    <x:row r="91" ht="44" customHeight="1">
      <x:c r="A91" s="22" t="n">
        <x:v>5</x:v>
      </x:c>
      <x:c r="B91" s="19" t="str">
        <x:v>Pandora's Actor</x:v>
      </x:c>
      <x:c r="C91" s="24" t="str">
        <x:f>D91&amp;"/"&amp;E91</x:f>
        <x:v>5/5</x:v>
      </x:c>
      <x:c r="D91" s="22" t="n">
        <x:v>5</x:v>
      </x:c>
      <x:c r="E91" s="22" t="n">
        <x:v>5</x:v>
      </x:c>
      <x:c r="F91" s="24" t="str">
        <x:v>Mythic</x:v>
      </x:c>
      <x:c r="G91" s="24" t="str">
        <x:v>Magic</x:v>
      </x:c>
      <x:c r="H91" s="24" t="str">
        <x:v>Evil</x:v>
      </x:c>
      <x:c r="I91" s="18" t="str">
        <x:v>Battlecry: Choose another minion. Become it. HP and ATK are not copied</x:v>
      </x:c>
      <x:c r="J91" s="18" t="str">
        <x:v>Every role is useful.</x:v>
      </x:c>
      <x:c r="K91" s="18" t="str">
        <x:v>Overlord</x:v>
      </x:c>
      <x:c r="L91" s="17" t="str">
        <x:v>c007</x:v>
      </x:c>
    </x:row>
    <x:row r="92" ht="42" customHeight="1">
      <x:c r="A92" s="21" t="n">
        <x:v>5</x:v>
      </x:c>
      <x:c r="B92" s="14" t="str">
        <x:v>Rennala Queen of the Full Moon</x:v>
      </x:c>
      <x:c r="C92" s="23" t="str">
        <x:f>D92&amp;"/"&amp;E92</x:f>
        <x:v>2/3</x:v>
      </x:c>
      <x:c r="D92" s="21" t="n">
        <x:v>2</x:v>
      </x:c>
      <x:c r="E92" s="21" t="n">
        <x:v>3</x:v>
      </x:c>
      <x:c r="F92" s="23" t="str">
        <x:v>Epic</x:v>
      </x:c>
      <x:c r="G92" s="23" t="str">
        <x:v>Magic</x:v>
      </x:c>
      <x:c r="H92" s="23" t="str">
        <x:v>Neutral</x:v>
      </x:c>
      <x:c r="I92" s="13" t="str">
        <x:v>Battlecry: Rebirth a random friendly minion that died this game</x:v>
      </x:c>
      <x:c r="J92" s="13" t="str">
        <x:v>The Moon</x:v>
      </x:c>
      <x:c r="K92" s="13" t="str">
        <x:v>Elden Ring</x:v>
      </x:c>
      <x:c r="L92" s="12" t="str">
        <x:v>c100</x:v>
      </x:c>
    </x:row>
    <x:row r="93" ht="42" customHeight="1">
      <x:c r="A93" s="22" t="n">
        <x:v>5</x:v>
      </x:c>
      <x:c r="B93" s="19" t="str">
        <x:v>T-1000</x:v>
      </x:c>
      <x:c r="C93" s="24" t="str">
        <x:f>D93&amp;"/"&amp;E93</x:f>
        <x:v>3/5</x:v>
      </x:c>
      <x:c r="D93" s="22" t="n">
        <x:v>3</x:v>
      </x:c>
      <x:c r="E93" s="22" t="n">
        <x:v>5</x:v>
      </x:c>
      <x:c r="F93" s="24" t="str">
        <x:v>Epic</x:v>
      </x:c>
      <x:c r="G93" s="24" t="str">
        <x:v>Tech</x:v>
      </x:c>
      <x:c r="H93" s="24" t="str">
        <x:v>Neutral</x:v>
      </x:c>
      <x:c r="I93" s="18" t="str">
        <x:v>Ongoing: Fully heal yourself</x:v>
      </x:c>
      <x:c r="J93" s="18" t="str">
        <x:v>It remembers its shape.</x:v>
      </x:c>
      <x:c r="K93" s="18" t="str">
        <x:v>Terminator</x:v>
      </x:c>
      <x:c r="L93" s="17" t="str">
        <x:v>c008</x:v>
      </x:c>
    </x:row>
    <x:row r="94" ht="42" customHeight="1">
      <x:c r="A94" s="21" t="n">
        <x:v>5</x:v>
      </x:c>
      <x:c r="B94" s="14" t="str">
        <x:v>The Driller</x:v>
      </x:c>
      <x:c r="C94" s="23" t="str">
        <x:f>D94&amp;"/"&amp;E94</x:f>
        <x:v>1/1</x:v>
      </x:c>
      <x:c r="D94" s="21" t="n">
        <x:v>1</x:v>
      </x:c>
      <x:c r="E94" s="21" t="n">
        <x:v>1</x:v>
      </x:c>
      <x:c r="F94" s="23" t="str">
        <x:v>Rare</x:v>
      </x:c>
      <x:c r="G94" s="23" t="str">
        <x:v>Tech</x:v>
      </x:c>
      <x:c r="H94" s="23" t="str">
        <x:v>Evil</x:v>
      </x:c>
      <x:c r="I94" s="13" t="str">
        <x:v>Battlecry: Consume an enemy Tech minion with 4 HP or lower</x:v>
      </x:c>
      <x:c r="J94" s="13" t="str">
        <x:v>Latest design</x:v>
      </x:c>
      <x:c r="K94" s="13" t="str">
        <x:v>Transformers</x:v>
      </x:c>
      <x:c r="L94" s="12" t="str">
        <x:v>c105</x:v>
      </x:c>
    </x:row>
    <x:row r="95" ht="42" customHeight="1">
      <x:c r="A95" s="22" t="n">
        <x:v>5</x:v>
      </x:c>
      <x:c r="B95" s="19" t="str">
        <x:v>Time Bomb</x:v>
      </x:c>
      <x:c r="C95" s="24" t="str">
        <x:f>D95&amp;"/"&amp;E95</x:f>
        <x:v>0/9</x:v>
      </x:c>
      <x:c r="D95" s="22" t="n">
        <x:v>0</x:v>
      </x:c>
      <x:c r="E95" s="22" t="n">
        <x:v>9</x:v>
      </x:c>
      <x:c r="F95" s="24" t="str">
        <x:v>Legendary</x:v>
      </x:c>
      <x:c r="G95" s="24" t="str">
        <x:v>Tech</x:v>
      </x:c>
      <x:c r="H95" s="24" t="str">
        <x:v>Neutral</x:v>
      </x:c>
      <x:c r="I95" s="18" t="str">
        <x:v>Ongoing: Destroy ALL minions</x:v>
      </x:c>
      <x:c r="J95" s="18" t="str">
        <x:v>Timer is T-1.</x:v>
      </x:c>
      <x:c r="K95" s="18" t="str">
        <x:v>Loki</x:v>
      </x:c>
      <x:c r="L95" s="17" t="str">
        <x:v>c009</x:v>
      </x:c>
    </x:row>
    <x:row r="96" ht="44" customHeight="1">
      <x:c r="A96" s="21" t="n">
        <x:v>5</x:v>
      </x:c>
      <x:c r="B96" s="14" t="str">
        <x:v>Transformers</x:v>
      </x:c>
      <x:c r="C96" s="23" t="str">
        <x:f>D96&amp;"/"&amp;E96</x:f>
        <x:v>2/5</x:v>
      </x:c>
      <x:c r="D96" s="21" t="n">
        <x:v>2</x:v>
      </x:c>
      <x:c r="E96" s="21" t="n">
        <x:v>5</x:v>
      </x:c>
      <x:c r="F96" s="23" t="str">
        <x:v>Rare</x:v>
      </x:c>
      <x:c r="G96" s="23" t="str">
        <x:v>Tech</x:v>
      </x:c>
      <x:c r="H96" s="23" t="str">
        <x:v>Neutral</x:v>
      </x:c>
      <x:c r="I96" s="13" t="str">
        <x:v>Battlecry: Consume all friendly Tech minions and gain their stats and effects</x:v>
      </x:c>
      <x:c r="J96" s="13" t="str">
        <x:v>Cybertronian</x:v>
      </x:c>
      <x:c r="K96" s="13" t="str">
        <x:v>Transformers</x:v>
      </x:c>
      <x:c r="L96" s="12" t="str">
        <x:v>c106</x:v>
      </x:c>
    </x:row>
    <x:row r="97" ht="42" customHeight="1">
      <x:c r="A97" s="22" t="n">
        <x:v>5</x:v>
      </x:c>
      <x:c r="B97" s="19" t="str">
        <x:v>Zoro</x:v>
      </x:c>
      <x:c r="C97" s="24" t="str">
        <x:f>D97&amp;"/"&amp;E97</x:f>
        <x:v>4/4</x:v>
      </x:c>
      <x:c r="D97" s="22" t="n">
        <x:v>4</x:v>
      </x:c>
      <x:c r="E97" s="22" t="n">
        <x:v>4</x:v>
      </x:c>
      <x:c r="F97" s="24" t="str">
        <x:v>Rare</x:v>
      </x:c>
      <x:c r="G97" s="24" t="str">
        <x:v>Nature</x:v>
      </x:c>
      <x:c r="H97" s="24" t="str">
        <x:v>Good</x:v>
      </x:c>
      <x:c r="I97" s="18" t="str">
        <x:v>Passive: Gain +1/+1 after killing a minion</x:v>
      </x:c>
      <x:c r="J97" s="18" t="str">
        <x:v>Lost again. Still won.</x:v>
      </x:c>
      <x:c r="K97" s="18" t="str">
        <x:v>One Piece</x:v>
      </x:c>
      <x:c r="L97" s="17" t="str">
        <x:v>c142</x:v>
      </x:c>
    </x:row>
    <x:row r="98" ht="42" customHeight="1">
      <x:c r="A98" s="21" t="n">
        <x:v>4</x:v>
      </x:c>
      <x:c r="B98" s="14" t="str">
        <x:v>Albion</x:v>
      </x:c>
      <x:c r="C98" s="23" t="str">
        <x:f>D98&amp;"/"&amp;E98</x:f>
        <x:v>6/5</x:v>
      </x:c>
      <x:c r="D98" s="21" t="n">
        <x:v>6</x:v>
      </x:c>
      <x:c r="E98" s="21" t="n">
        <x:v>5</x:v>
      </x:c>
      <x:c r="F98" s="23" t="str">
        <x:v>Rare</x:v>
      </x:c>
      <x:c r="G98" s="23" t="str">
        <x:v>Magic</x:v>
      </x:c>
      <x:c r="H98" s="23" t="str">
        <x:v>Evil</x:v>
      </x:c>
      <x:c r="I98" s="13" t="str">
        <x:v>Chained</x:v>
      </x:c>
      <x:c r="J98" s="13" t="str">
        <x:v>Mountain-tall</x:v>
      </x:c>
      <x:c r="K98" s="13" t="str">
        <x:v>Seven Deadly Sins</x:v>
      </x:c>
      <x:c r="L98" s="12" t="str">
        <x:v>c117</x:v>
      </x:c>
    </x:row>
    <x:row r="99" ht="44" customHeight="1">
      <x:c r="A99" s="22" t="n">
        <x:v>4</x:v>
      </x:c>
      <x:c r="B99" s="19" t="str">
        <x:v>Angstrom Levy</x:v>
      </x:c>
      <x:c r="C99" s="24" t="str">
        <x:f>D99&amp;"/"&amp;E99</x:f>
        <x:v>3/3</x:v>
      </x:c>
      <x:c r="D99" s="22" t="n">
        <x:v>3</x:v>
      </x:c>
      <x:c r="E99" s="22" t="n">
        <x:v>3</x:v>
      </x:c>
      <x:c r="F99" s="24" t="str">
        <x:v>Epic</x:v>
      </x:c>
      <x:c r="G99" s="24" t="str">
        <x:v>Magic</x:v>
      </x:c>
      <x:c r="H99" s="24" t="str">
        <x:v>Neutral</x:v>
      </x:c>
      <x:c r="I99" s="18" t="str">
        <x:v>Battlecry: Choose another minion. Put it on the bottom of the deck and summon a random minion of the same cost into its slot</x:v>
      </x:c>
      <x:c r="J99" s="18" t="str">
        <x:v>Universe</x:v>
      </x:c>
      <x:c r="K99" s="18" t="str">
        <x:v>Invincible</x:v>
      </x:c>
      <x:c r="L99" s="17" t="str">
        <x:v>c163</x:v>
      </x:c>
    </x:row>
    <x:row r="100" ht="42" customHeight="1">
      <x:c r="A100" s="21" t="n">
        <x:v>4</x:v>
      </x:c>
      <x:c r="B100" s="14" t="str">
        <x:v>Battleship</x:v>
      </x:c>
      <x:c r="C100" s="23" t="str">
        <x:f>D100&amp;"/"&amp;E100</x:f>
        <x:v>2/3</x:v>
      </x:c>
      <x:c r="D100" s="21" t="n">
        <x:v>2</x:v>
      </x:c>
      <x:c r="E100" s="21" t="n">
        <x:v>3</x:v>
      </x:c>
      <x:c r="F100" s="23" t="str">
        <x:v>Rare</x:v>
      </x:c>
      <x:c r="G100" s="23" t="str">
        <x:v>Tech</x:v>
      </x:c>
      <x:c r="H100" s="23" t="str">
        <x:v>Neutral</x:v>
      </x:c>
      <x:c r="I100" s="13" t="str">
        <x:v>Passive: All friendly Tech minions have +2/+1</x:v>
      </x:c>
      <x:c r="J100" s="13" t="str">
        <x:v>-</x:v>
      </x:c>
      <x:c r="K100" s="13" t="str">
        <x:v>Basic</x:v>
      </x:c>
      <x:c r="L100" s="12" t="str">
        <x:v>c118</x:v>
      </x:c>
    </x:row>
    <x:row r="101" ht="42" customHeight="1">
      <x:c r="A101" s="22" t="n">
        <x:v>4</x:v>
      </x:c>
      <x:c r="B101" s="19" t="str">
        <x:v>Carnage Kabuto</x:v>
      </x:c>
      <x:c r="C101" s="24" t="str">
        <x:f>D101&amp;"/"&amp;E101</x:f>
        <x:v>3/2</x:v>
      </x:c>
      <x:c r="D101" s="22" t="n">
        <x:v>3</x:v>
      </x:c>
      <x:c r="E101" s="22" t="n">
        <x:v>2</x:v>
      </x:c>
      <x:c r="F101" s="24" t="str">
        <x:v>Rare</x:v>
      </x:c>
      <x:c r="G101" s="24" t="str">
        <x:v>Nature</x:v>
      </x:c>
      <x:c r="H101" s="24" t="str">
        <x:v>Evil</x:v>
      </x:c>
      <x:c r="I101" s="18" t="str">
        <x:v>Ongoing: Gain +3 ATK</x:v>
      </x:c>
      <x:c r="J101" s="18" t="str">
        <x:v>Maximum evolution</x:v>
      </x:c>
      <x:c r="K101" s="18" t="str">
        <x:v>OPM</x:v>
      </x:c>
      <x:c r="L101" s="17" t="str">
        <x:v>c119</x:v>
      </x:c>
    </x:row>
    <x:row r="102" ht="44" customHeight="1">
      <x:c r="A102" s="21" t="n">
        <x:v>4</x:v>
      </x:c>
      <x:c r="B102" s="14" t="str">
        <x:v>Chrollo</x:v>
      </x:c>
      <x:c r="C102" s="23" t="str">
        <x:f>D102&amp;"/"&amp;E102</x:f>
        <x:v>3/5</x:v>
      </x:c>
      <x:c r="D102" s="21" t="n">
        <x:v>3</x:v>
      </x:c>
      <x:c r="E102" s="21" t="n">
        <x:v>5</x:v>
      </x:c>
      <x:c r="F102" s="23" t="str">
        <x:v>Legendary</x:v>
      </x:c>
      <x:c r="G102" s="23" t="str">
        <x:v>Magic</x:v>
      </x:c>
      <x:c r="H102" s="23" t="str">
        <x:v>Evil</x:v>
      </x:c>
      <x:c r="I102" s="13" t="str">
        <x:v>Battlecry: Copy a passive from a minion. That minion loses the passive as long as Chrollo is alive</x:v>
      </x:c>
      <x:c r="J102" s="13" t="str">
        <x:v>A poisonous spider</x:v>
      </x:c>
      <x:c r="K102" s="13" t="str">
        <x:v>HxH</x:v>
      </x:c>
      <x:c r="L102" s="12" t="str">
        <x:v>c107</x:v>
      </x:c>
    </x:row>
    <x:row r="103" ht="44" customHeight="1">
      <x:c r="A103" s="22" t="n">
        <x:v>4</x:v>
      </x:c>
      <x:c r="B103" s="19" t="str">
        <x:v>Doctor Octopus</x:v>
      </x:c>
      <x:c r="C103" s="24" t="str">
        <x:f>D103&amp;"/"&amp;E103</x:f>
        <x:v>3/3</x:v>
      </x:c>
      <x:c r="D103" s="22" t="n">
        <x:v>3</x:v>
      </x:c>
      <x:c r="E103" s="22" t="n">
        <x:v>3</x:v>
      </x:c>
      <x:c r="F103" s="24" t="str">
        <x:v>Epic</x:v>
      </x:c>
      <x:c r="G103" s="24" t="str">
        <x:v>Tech</x:v>
      </x:c>
      <x:c r="H103" s="24" t="str">
        <x:v>Evil</x:v>
      </x:c>
      <x:c r="I103" s="18" t="str">
        <x:v>Battlecry: Destroy an enemy Ascension Relic (equipped by an enemy minion) of your choice</x:v>
      </x:c>
      <x:c r="J103" s="18" t="str">
        <x:v>The power of the Sun, in the palm of my hands</x:v>
      </x:c>
      <x:c r="K103" s="18" t="str">
        <x:v>MCU</x:v>
      </x:c>
      <x:c r="L103" s="17" t="str">
        <x:v>c111</x:v>
      </x:c>
    </x:row>
    <x:row r="104" ht="44" customHeight="1">
      <x:c r="A104" s="21" t="n">
        <x:v>4</x:v>
      </x:c>
      <x:c r="B104" s="14" t="str">
        <x:v>Dominion Authority</x:v>
      </x:c>
      <x:c r="C104" s="23" t="str">
        <x:f>D104&amp;"/"&amp;E104</x:f>
        <x:v>1/4</x:v>
      </x:c>
      <x:c r="D104" s="21" t="n">
        <x:v>1</x:v>
      </x:c>
      <x:c r="E104" s="21" t="n">
        <x:v>4</x:v>
      </x:c>
      <x:c r="F104" s="23" t="str">
        <x:v>Rare</x:v>
      </x:c>
      <x:c r="G104" s="23" t="str">
        <x:v>Magic</x:v>
      </x:c>
      <x:c r="H104" s="23" t="str">
        <x:v>Good</x:v>
      </x:c>
      <x:c r="I104" s="13" t="str">
        <x:v>Passive: Friendly minions cannot be mind-controlled, returned to hand, or transformed by enemy effects</x:v>
      </x:c>
      <x:c r="J104" s="13" t="str">
        <x:v>Loyalty</x:v>
      </x:c>
      <x:c r="K104" s="13" t="str">
        <x:v>Overlord</x:v>
      </x:c>
      <x:c r="L104" s="12" t="str">
        <x:v>c086</x:v>
      </x:c>
    </x:row>
    <x:row r="105" ht="42" customHeight="1">
      <x:c r="A105" s="22" t="n">
        <x:v>4</x:v>
      </x:c>
      <x:c r="B105" s="19" t="str">
        <x:v>Fantastic Four</x:v>
      </x:c>
      <x:c r="C105" s="24" t="str">
        <x:f>D105&amp;"/"&amp;E105</x:f>
        <x:v>2/2</x:v>
      </x:c>
      <x:c r="D105" s="22" t="n">
        <x:v>2</x:v>
      </x:c>
      <x:c r="E105" s="22" t="n">
        <x:v>2</x:v>
      </x:c>
      <x:c r="F105" s="24" t="str">
        <x:v>Rare</x:v>
      </x:c>
      <x:c r="G105" s="24" t="str">
        <x:v>Nature</x:v>
      </x:c>
      <x:c r="H105" s="24" t="str">
        <x:v>Good</x:v>
      </x:c>
      <x:c r="I105" s="18" t="str">
        <x:v>Passive: Your first 4 board slots each give +1/+1</x:v>
      </x:c>
      <x:c r="J105" s="18" t="str">
        <x:v>4</x:v>
      </x:c>
      <x:c r="K105" s="18" t="str">
        <x:v>MCU</x:v>
      </x:c>
      <x:c r="L105" s="17" t="str">
        <x:v>c120</x:v>
      </x:c>
    </x:row>
    <x:row r="106" ht="44" customHeight="1">
      <x:c r="A106" s="21" t="n">
        <x:v>4</x:v>
      </x:c>
      <x:c r="B106" s="14" t="str">
        <x:v>Furious Five</x:v>
      </x:c>
      <x:c r="C106" s="23" t="str">
        <x:f>D106&amp;"/"&amp;E106</x:f>
        <x:v>3/3</x:v>
      </x:c>
      <x:c r="D106" s="21" t="n">
        <x:v>3</x:v>
      </x:c>
      <x:c r="E106" s="21" t="n">
        <x:v>3</x:v>
      </x:c>
      <x:c r="F106" s="23" t="str">
        <x:v>Rare</x:v>
      </x:c>
      <x:c r="G106" s="23" t="str">
        <x:v>Nature</x:v>
      </x:c>
      <x:c r="H106" s="23" t="str">
        <x:v>Good</x:v>
      </x:c>
      <x:c r="I106" s="13" t="str">
        <x:v>Passive: Whenever you play a Good friendly minion, it gains Divine Shield</x:v>
      </x:c>
      <x:c r="J106" s="13" t="str">
        <x:v>Resilience</x:v>
      </x:c>
      <x:c r="K106" s="13" t="str">
        <x:v>Kung-Fu Panda</x:v>
      </x:c>
      <x:c r="L106" s="12" t="str">
        <x:v>c121</x:v>
      </x:c>
    </x:row>
    <x:row r="107" ht="44" customHeight="1">
      <x:c r="A107" s="22" t="n">
        <x:v>4</x:v>
      </x:c>
      <x:c r="B107" s="19" t="str">
        <x:v>General Grievous</x:v>
      </x:c>
      <x:c r="C107" s="24" t="str">
        <x:f>D107&amp;"/"&amp;E107</x:f>
        <x:v>3/3</x:v>
      </x:c>
      <x:c r="D107" s="22" t="n">
        <x:v>3</x:v>
      </x:c>
      <x:c r="E107" s="22" t="n">
        <x:v>3</x:v>
      </x:c>
      <x:c r="F107" s="24" t="str">
        <x:v>Rare</x:v>
      </x:c>
      <x:c r="G107" s="24" t="str">
        <x:v>Tech</x:v>
      </x:c>
      <x:c r="H107" s="24" t="str">
        <x:v>Evil</x:v>
      </x:c>
      <x:c r="I107" s="18" t="str">
        <x:v>Passive: Whenever Grievous kills a minion, he permanently gains that minion's ATK</x:v>
      </x:c>
      <x:c r="J107" s="18" t="str">
        <x:v>A fine addition.</x:v>
      </x:c>
      <x:c r="K107" s="18" t="str">
        <x:v>Star Wars</x:v>
      </x:c>
      <x:c r="L107" s="17" t="str">
        <x:v>c036</x:v>
      </x:c>
    </x:row>
    <x:row r="108" ht="42" customHeight="1">
      <x:c r="A108" s="21" t="n">
        <x:v>4</x:v>
      </x:c>
      <x:c r="B108" s="14" t="str">
        <x:v>Gordon Freeman</x:v>
      </x:c>
      <x:c r="C108" s="23" t="str">
        <x:f>D108&amp;"/"&amp;E108</x:f>
        <x:v>1/3</x:v>
      </x:c>
      <x:c r="D108" s="21" t="n">
        <x:v>1</x:v>
      </x:c>
      <x:c r="E108" s="21" t="n">
        <x:v>3</x:v>
      </x:c>
      <x:c r="F108" s="23" t="str">
        <x:v>Legendary</x:v>
      </x:c>
      <x:c r="G108" s="23" t="str">
        <x:v>Tech</x:v>
      </x:c>
      <x:c r="H108" s="23" t="str">
        <x:v>Neutral</x:v>
      </x:c>
      <x:c r="I108" s="13" t="str">
        <x:v>Passive: All friendly minions have Charge</x:v>
      </x:c>
      <x:c r="J108" s="13" t="str">
        <x:v>I̵n̷ ̵t̵h̵e̷ ̵f̴l̵e̷s̷h̴…</x:v>
      </x:c>
      <x:c r="K108" s="13" t="str">
        <x:v>Half-life</x:v>
      </x:c>
      <x:c r="L108" s="12" t="str">
        <x:v>c081</x:v>
      </x:c>
    </x:row>
    <x:row r="109" ht="42" customHeight="1">
      <x:c r="A109" s="22" t="n">
        <x:v>4</x:v>
      </x:c>
      <x:c r="B109" s="19" t="str">
        <x:v>Gravelord Nito</x:v>
      </x:c>
      <x:c r="C109" s="24" t="str">
        <x:f>D109&amp;"/"&amp;E109</x:f>
        <x:v>2/3</x:v>
      </x:c>
      <x:c r="D109" s="22" t="n">
        <x:v>2</x:v>
      </x:c>
      <x:c r="E109" s="22" t="n">
        <x:v>3</x:v>
      </x:c>
      <x:c r="F109" s="24" t="str">
        <x:v>Rare</x:v>
      </x:c>
      <x:c r="G109" s="24" t="str">
        <x:v>Magic</x:v>
      </x:c>
      <x:c r="H109" s="24" t="str">
        <x:v>Neutral</x:v>
      </x:c>
      <x:c r="I109" s="18" t="str">
        <x:v>Passive: Gain +1/+1 when a minion dies</x:v>
      </x:c>
      <x:c r="J109" s="18" t="str">
        <x:v>The first of the dead keeps the count.</x:v>
      </x:c>
      <x:c r="K109" s="18" t="str">
        <x:v>Dark Souls</x:v>
      </x:c>
      <x:c r="L109" s="17" t="str">
        <x:v>c154</x:v>
      </x:c>
    </x:row>
    <x:row r="110" ht="42" customHeight="1">
      <x:c r="A110" s="21" t="n">
        <x:v>4</x:v>
      </x:c>
      <x:c r="B110" s="14" t="str">
        <x:v>Gums</x:v>
      </x:c>
      <x:c r="C110" s="23" t="str">
        <x:f>D110&amp;"/"&amp;E110</x:f>
        <x:v>2/2</x:v>
      </x:c>
      <x:c r="D110" s="21" t="n">
        <x:v>2</x:v>
      </x:c>
      <x:c r="E110" s="21" t="n">
        <x:v>2</x:v>
      </x:c>
      <x:c r="F110" s="23" t="str">
        <x:v>Legendary</x:v>
      </x:c>
      <x:c r="G110" s="23" t="str">
        <x:v>Nature</x:v>
      </x:c>
      <x:c r="H110" s="23" t="str">
        <x:v>Evil</x:v>
      </x:c>
      <x:c r="I110" s="13" t="str">
        <x:v>Battlecry: Consume an enemy Nature minion with 4 HP or lower</x:v>
      </x:c>
      <x:c r="J110" s="13" t="str">
        <x:v>Insatiable hunger</x:v>
      </x:c>
      <x:c r="K110" s="13" t="str">
        <x:v>OPM</x:v>
      </x:c>
      <x:c r="L110" s="12" t="str">
        <x:v>c126</x:v>
      </x:c>
    </x:row>
    <x:row r="111" ht="42" customHeight="1">
      <x:c r="A111" s="22" t="n">
        <x:v>4</x:v>
      </x:c>
      <x:c r="B111" s="19" t="str">
        <x:v>Gyoro Gyoro</x:v>
      </x:c>
      <x:c r="C111" s="24" t="str">
        <x:f>D111&amp;"/"&amp;E111</x:f>
        <x:v>1/4</x:v>
      </x:c>
      <x:c r="D111" s="22" t="n">
        <x:v>1</x:v>
      </x:c>
      <x:c r="E111" s="22" t="n">
        <x:v>4</x:v>
      </x:c>
      <x:c r="F111" s="24" t="str">
        <x:v>Epic</x:v>
      </x:c>
      <x:c r="G111" s="24" t="str">
        <x:v>Magic</x:v>
      </x:c>
      <x:c r="H111" s="24" t="str">
        <x:v>Evil</x:v>
      </x:c>
      <x:c r="I111" s="18" t="str">
        <x:v>Ongoing: Give +2/+2 to a friendly Evil minion of your choice</x:v>
      </x:c>
      <x:c r="J111" s="18" t="str">
        <x:v>Puppet's puppet-master</x:v>
      </x:c>
      <x:c r="K111" s="18" t="str">
        <x:v>OPM</x:v>
      </x:c>
      <x:c r="L111" s="17" t="str">
        <x:v>c112</x:v>
      </x:c>
    </x:row>
    <x:row r="112" ht="42" customHeight="1">
      <x:c r="A112" s="21" t="n">
        <x:v>4</x:v>
      </x:c>
      <x:c r="B112" s="14" t="str">
        <x:v>Hypnos</x:v>
      </x:c>
      <x:c r="C112" s="23" t="str">
        <x:f>D112&amp;"/"&amp;E112</x:f>
        <x:v>0/5</x:v>
      </x:c>
      <x:c r="D112" s="21" t="n">
        <x:v>0</x:v>
      </x:c>
      <x:c r="E112" s="21" t="n">
        <x:v>5</x:v>
      </x:c>
      <x:c r="F112" s="23" t="str">
        <x:v>Rare</x:v>
      </x:c>
      <x:c r="G112" s="23" t="str">
        <x:v>Magic</x:v>
      </x:c>
      <x:c r="H112" s="23" t="str">
        <x:v>Neutral</x:v>
      </x:c>
      <x:c r="I112" s="13" t="str">
        <x:v>Taunt. Passive: Enemy minions that attack this become Chained</x:v>
      </x:c>
      <x:c r="J112" s="13" t="str">
        <x:v>He sleeps in his sleep</x:v>
      </x:c>
      <x:c r="K112" s="13" t="str">
        <x:v>Hades</x:v>
      </x:c>
      <x:c r="L112" s="12" t="str">
        <x:v>c067</x:v>
      </x:c>
    </x:row>
    <x:row r="113" ht="42" customHeight="1">
      <x:c r="A113" s="22" t="n">
        <x:v>4</x:v>
      </x:c>
      <x:c r="B113" s="19" t="str">
        <x:v>Kite</x:v>
      </x:c>
      <x:c r="C113" s="24" t="str">
        <x:f>D113&amp;"/"&amp;E113</x:f>
        <x:v>1/2</x:v>
      </x:c>
      <x:c r="D113" s="22" t="n">
        <x:v>1</x:v>
      </x:c>
      <x:c r="E113" s="22" t="n">
        <x:v>2</x:v>
      </x:c>
      <x:c r="F113" s="24" t="str">
        <x:v>Epic</x:v>
      </x:c>
      <x:c r="G113" s="24" t="str">
        <x:v>Magic</x:v>
      </x:c>
      <x:c r="H113" s="24" t="str">
        <x:v>Good</x:v>
      </x:c>
      <x:c r="I113" s="18" t="str">
        <x:v>Ongoing: Roll a dice to gain from +1/+1 to +3/+3</x:v>
      </x:c>
      <x:c r="J113" s="18" t="str">
        <x:v>Spin the wheel</x:v>
      </x:c>
      <x:c r="K113" s="18" t="str">
        <x:v>HxH</x:v>
      </x:c>
      <x:c r="L113" s="17" t="str">
        <x:v>c113</x:v>
      </x:c>
    </x:row>
    <x:row r="114" ht="60" customHeight="1">
      <x:c r="A114" s="21" t="n">
        <x:v>4</x:v>
      </x:c>
      <x:c r="B114" s="14" t="str">
        <x:v>Lord Voldemort</x:v>
      </x:c>
      <x:c r="C114" s="23" t="str">
        <x:f>D114&amp;"/"&amp;E114</x:f>
        <x:v>4/4</x:v>
      </x:c>
      <x:c r="D114" s="21" t="n">
        <x:v>4</x:v>
      </x:c>
      <x:c r="E114" s="21" t="n">
        <x:v>4</x:v>
      </x:c>
      <x:c r="F114" s="23" t="str">
        <x:v>Epic</x:v>
      </x:c>
      <x:c r="G114" s="23" t="str">
        <x:v>Magic</x:v>
      </x:c>
      <x:c r="H114" s="23" t="str">
        <x:v>Evil</x:v>
      </x:c>
      <x:c r="I114" s="13" t="str">
        <x:v>Passive: Any time Voldemort would die, destroy the lowest-HP other friendly minion instead and restore Voldemort to full HP. If he is alone, he dies normally</x:v>
      </x:c>
      <x:c r="J114" s="13" t="str">
        <x:v>Seven horcruxes</x:v>
      </x:c>
      <x:c r="K114" s="13" t="str">
        <x:v>Harry Potter</x:v>
      </x:c>
      <x:c r="L114" s="12" t="str">
        <x:v>c114</x:v>
      </x:c>
    </x:row>
    <x:row r="115" ht="42" customHeight="1">
      <x:c r="A115" s="22" t="n">
        <x:v>4</x:v>
      </x:c>
      <x:c r="B115" s="19" t="str">
        <x:v>Military Fort</x:v>
      </x:c>
      <x:c r="C115" s="24" t="str">
        <x:f>D115&amp;"/"&amp;E115</x:f>
        <x:v>4/4</x:v>
      </x:c>
      <x:c r="D115" s="22" t="n">
        <x:v>4</x:v>
      </x:c>
      <x:c r="E115" s="22" t="n">
        <x:v>4</x:v>
      </x:c>
      <x:c r="F115" s="24" t="str">
        <x:v>Rare</x:v>
      </x:c>
      <x:c r="G115" s="24" t="str">
        <x:v>Tech</x:v>
      </x:c>
      <x:c r="H115" s="24" t="str">
        <x:v>Neutral</x:v>
      </x:c>
      <x:c r="I115" s="18" t="str">
        <x:v>Taunt. Cannot attack</x:v>
      </x:c>
      <x:c r="J115" s="18" t="str">
        <x:v>-</x:v>
      </x:c>
      <x:c r="K115" s="18" t="str">
        <x:v>Basic</x:v>
      </x:c>
      <x:c r="L115" s="17" t="str">
        <x:v>c103</x:v>
      </x:c>
    </x:row>
    <x:row r="116" ht="44" customHeight="1">
      <x:c r="A116" s="21" t="n">
        <x:v>4</x:v>
      </x:c>
      <x:c r="B116" s="14" t="str">
        <x:v>Morpheus</x:v>
      </x:c>
      <x:c r="C116" s="23" t="str">
        <x:f>D116&amp;"/"&amp;E116</x:f>
        <x:v>2/3</x:v>
      </x:c>
      <x:c r="D116" s="21" t="n">
        <x:v>2</x:v>
      </x:c>
      <x:c r="E116" s="21" t="n">
        <x:v>3</x:v>
      </x:c>
      <x:c r="F116" s="23" t="str">
        <x:v>Epic</x:v>
      </x:c>
      <x:c r="G116" s="23" t="str">
        <x:v>Tech</x:v>
      </x:c>
      <x:c r="H116" s="23" t="str">
        <x:v>Good</x:v>
      </x:c>
      <x:c r="I116" s="13" t="str">
        <x:v>Battlecry: Discover a random Good or Evil minion from the deck. Draw it</x:v>
      </x:c>
      <x:c r="J116" s="13" t="str">
        <x:v>He doesn't offer truth—only the courage to face it</x:v>
      </x:c>
      <x:c r="K116" s="13" t="str">
        <x:v>Matrix</x:v>
      </x:c>
      <x:c r="L116" s="12" t="str">
        <x:v>c054</x:v>
      </x:c>
    </x:row>
    <x:row r="117" ht="44" customHeight="1">
      <x:c r="A117" s="22" t="n">
        <x:v>4</x:v>
      </x:c>
      <x:c r="B117" s="19" t="str">
        <x:v>Motoko Kusanagi</x:v>
      </x:c>
      <x:c r="C117" s="24" t="str">
        <x:f>D117&amp;"/"&amp;E117</x:f>
        <x:v>2/1</x:v>
      </x:c>
      <x:c r="D117" s="22" t="n">
        <x:v>2</x:v>
      </x:c>
      <x:c r="E117" s="22" t="n">
        <x:v>1</x:v>
      </x:c>
      <x:c r="F117" s="24" t="str">
        <x:v>Legendary</x:v>
      </x:c>
      <x:c r="G117" s="24" t="str">
        <x:v>Tech</x:v>
      </x:c>
      <x:c r="H117" s="24" t="str">
        <x:v>Good</x:v>
      </x:c>
      <x:c r="I117" s="18" t="str">
        <x:v>Battlecry: Take control of an enemy Tech minion with 4 HP or less until the end of your next turn</x:v>
      </x:c>
      <x:c r="J117" s="18" t="str">
        <x:v>The ghost can choose the shell.</x:v>
      </x:c>
      <x:c r="K117" s="18" t="str">
        <x:v>Ghost in the Shell</x:v>
      </x:c>
      <x:c r="L117" s="17" t="str">
        <x:v>c181</x:v>
      </x:c>
    </x:row>
    <x:row r="118" ht="42" customHeight="1">
      <x:c r="A118" s="21" t="n">
        <x:v>4</x:v>
      </x:c>
      <x:c r="B118" s="14" t="str">
        <x:v>Musashi</x:v>
      </x:c>
      <x:c r="C118" s="23" t="str">
        <x:f>D118&amp;"/"&amp;E118</x:f>
        <x:v>2/1</x:v>
      </x:c>
      <x:c r="D118" s="21" t="n">
        <x:v>2</x:v>
      </x:c>
      <x:c r="E118" s="21" t="n">
        <x:v>1</x:v>
      </x:c>
      <x:c r="F118" s="23" t="str">
        <x:v>Legendary</x:v>
      </x:c>
      <x:c r="G118" s="23" t="str">
        <x:v>Nature</x:v>
      </x:c>
      <x:c r="H118" s="23" t="str">
        <x:v>Neutral</x:v>
      </x:c>
      <x:c r="I118" s="13" t="str">
        <x:v>Battlecry: Destroy all damaged enemy minions</x:v>
      </x:c>
      <x:c r="J118" s="13" t="str">
        <x:v>Another duel to win</x:v>
      </x:c>
      <x:c r="K118" s="13" t="str">
        <x:v>Baki</x:v>
      </x:c>
      <x:c r="L118" s="12" t="str">
        <x:v>c108</x:v>
      </x:c>
    </x:row>
    <x:row r="119" ht="44" customHeight="1">
      <x:c r="A119" s="22" t="n">
        <x:v>4</x:v>
      </x:c>
      <x:c r="B119" s="19" t="str">
        <x:v>Nine Hashira</x:v>
      </x:c>
      <x:c r="C119" s="24" t="str">
        <x:f>D119&amp;"/"&amp;E119</x:f>
        <x:v>3/3</x:v>
      </x:c>
      <x:c r="D119" s="22" t="n">
        <x:v>3</x:v>
      </x:c>
      <x:c r="E119" s="22" t="n">
        <x:v>3</x:v>
      </x:c>
      <x:c r="F119" s="24" t="str">
        <x:v>Legendary</x:v>
      </x:c>
      <x:c r="G119" s="24" t="str">
        <x:v>Nature</x:v>
      </x:c>
      <x:c r="H119" s="24" t="str">
        <x:v>Good</x:v>
      </x:c>
      <x:c r="I119" s="18" t="str">
        <x:v>Battlecry: Choose an enemy Evil minion. Every friendly minion attacks it immediately</x:v>
      </x:c>
      <x:c r="J119" s="18" t="str">
        <x:v>Nine pillars holding the sky</x:v>
      </x:c>
      <x:c r="K119" s="18" t="str">
        <x:v>Demon Slayer</x:v>
      </x:c>
      <x:c r="L119" s="17" t="str">
        <x:v>c109</x:v>
      </x:c>
    </x:row>
    <x:row r="120" ht="42" customHeight="1">
      <x:c r="A120" s="21" t="n">
        <x:v>4</x:v>
      </x:c>
      <x:c r="B120" s="14" t="str">
        <x:v>Nyan</x:v>
      </x:c>
      <x:c r="C120" s="23" t="str">
        <x:f>D120&amp;"/"&amp;E120</x:f>
        <x:v>3/1</x:v>
      </x:c>
      <x:c r="D120" s="21" t="n">
        <x:v>3</x:v>
      </x:c>
      <x:c r="E120" s="21" t="n">
        <x:v>1</x:v>
      </x:c>
      <x:c r="F120" s="23" t="str">
        <x:v>Legendary</x:v>
      </x:c>
      <x:c r="G120" s="23" t="str">
        <x:v>Nature</x:v>
      </x:c>
      <x:c r="H120" s="23" t="str">
        <x:v>Evil</x:v>
      </x:c>
      <x:c r="I120" s="13" t="str">
        <x:v>Charge. Passive: Attacks ignore Taunt and cannot be evaded</x:v>
      </x:c>
      <x:c r="J120" s="13" t="str">
        <x:v>Cat King</x:v>
      </x:c>
      <x:c r="K120" s="13" t="str">
        <x:v>OPM</x:v>
      </x:c>
      <x:c r="L120" s="12" t="str">
        <x:v>c127</x:v>
      </x:c>
    </x:row>
    <x:row r="121" ht="44" customHeight="1">
      <x:c r="A121" s="22" t="n">
        <x:v>4</x:v>
      </x:c>
      <x:c r="B121" s="19" t="str">
        <x:v>Pillar Men</x:v>
      </x:c>
      <x:c r="C121" s="24" t="str">
        <x:f>D121&amp;"/"&amp;E121</x:f>
        <x:v>4/4</x:v>
      </x:c>
      <x:c r="D121" s="22" t="n">
        <x:v>4</x:v>
      </x:c>
      <x:c r="E121" s="22" t="n">
        <x:v>4</x:v>
      </x:c>
      <x:c r="F121" s="24" t="str">
        <x:v>Rare</x:v>
      </x:c>
      <x:c r="G121" s="24" t="str">
        <x:v>Nature</x:v>
      </x:c>
      <x:c r="H121" s="24" t="str">
        <x:v>Evil</x:v>
      </x:c>
      <x:c r="I121" s="18" t="str">
        <x:v>Chained. Passive: Whenever Pillar Men kills a minion, restore itself to full health</x:v>
      </x:c>
      <x:c r="J121" s="18" t="str">
        <x:v>They outwaited the sun.</x:v>
      </x:c>
      <x:c r="K121" s="18" t="str">
        <x:v>JoJo</x:v>
      </x:c>
      <x:c r="L121" s="17" t="str">
        <x:v>c157</x:v>
      </x:c>
    </x:row>
    <x:row r="122" ht="44" customHeight="1">
      <x:c r="A122" s="21" t="n">
        <x:v>4</x:v>
      </x:c>
      <x:c r="B122" s="14" t="str">
        <x:v>Po</x:v>
      </x:c>
      <x:c r="C122" s="23" t="str">
        <x:f>D122&amp;"/"&amp;E122</x:f>
        <x:v>3/3</x:v>
      </x:c>
      <x:c r="D122" s="21" t="n">
        <x:v>3</x:v>
      </x:c>
      <x:c r="E122" s="21" t="n">
        <x:v>3</x:v>
      </x:c>
      <x:c r="F122" s="23" t="str">
        <x:v>Legendary</x:v>
      </x:c>
      <x:c r="G122" s="23" t="str">
        <x:v>Nature</x:v>
      </x:c>
      <x:c r="H122" s="23" t="str">
        <x:v>Good</x:v>
      </x:c>
      <x:c r="I122" s="13" t="str">
        <x:v>Passive: Gain +1/+1 each time you survive after attacking or defending</x:v>
      </x:c>
      <x:c r="J122" s="13" t="str">
        <x:v>Chosen by accident. Or destiny?</x:v>
      </x:c>
      <x:c r="K122" s="13" t="str">
        <x:v>Kung-Fu Panda</x:v>
      </x:c>
      <x:c r="L122" s="12" t="str">
        <x:v>c110</x:v>
      </x:c>
    </x:row>
    <x:row r="123" ht="44" customHeight="1">
      <x:c r="A123" s="22" t="n">
        <x:v>4</x:v>
      </x:c>
      <x:c r="B123" s="19" t="str">
        <x:v>Ragnaros</x:v>
      </x:c>
      <x:c r="C123" s="24" t="str">
        <x:f>D123&amp;"/"&amp;E123</x:f>
        <x:v>4/4</x:v>
      </x:c>
      <x:c r="D123" s="22" t="n">
        <x:v>4</x:v>
      </x:c>
      <x:c r="E123" s="22" t="n">
        <x:v>4</x:v>
      </x:c>
      <x:c r="F123" s="24" t="str">
        <x:v>Rare</x:v>
      </x:c>
      <x:c r="G123" s="24" t="str">
        <x:v>Magic</x:v>
      </x:c>
      <x:c r="H123" s="24" t="str">
        <x:v>Evil</x:v>
      </x:c>
      <x:c r="I123" s="18" t="str">
        <x:v>Cannot attack. Ongoing: Deal 3 damage to a random enemy minion or the enemy core</x:v>
      </x:c>
      <x:c r="J123" s="18" t="str">
        <x:v>Summoned. Once again.</x:v>
      </x:c>
      <x:c r="K123" s="18" t="str">
        <x:v>Hearthstone</x:v>
      </x:c>
      <x:c r="L123" s="17" t="str">
        <x:v>c031</x:v>
      </x:c>
    </x:row>
    <x:row r="124" ht="42" customHeight="1">
      <x:c r="A124" s="21" t="n">
        <x:v>4</x:v>
      </x:c>
      <x:c r="B124" s="14" t="str">
        <x:v>Rudeus Greyrat</x:v>
      </x:c>
      <x:c r="C124" s="23" t="str">
        <x:f>D124&amp;"/"&amp;E124</x:f>
        <x:v>2/2</x:v>
      </x:c>
      <x:c r="D124" s="21" t="n">
        <x:v>2</x:v>
      </x:c>
      <x:c r="E124" s="21" t="n">
        <x:v>2</x:v>
      </x:c>
      <x:c r="F124" s="23" t="str">
        <x:v>Legendary</x:v>
      </x:c>
      <x:c r="G124" s="23" t="str">
        <x:v>Magic</x:v>
      </x:c>
      <x:c r="H124" s="23" t="str">
        <x:v>Good</x:v>
      </x:c>
      <x:c r="I124" s="13" t="str">
        <x:v>Divine Shield. Passive: Your Hero Power costs 0</x:v>
      </x:c>
      <x:c r="J124" s="13" t="str">
        <x:v>Silent casting, overwhelming force.</x:v>
      </x:c>
      <x:c r="K124" s="13" t="str">
        <x:v>Mushoku Tensei</x:v>
      </x:c>
      <x:c r="L124" s="12" t="str">
        <x:v>c179</x:v>
      </x:c>
    </x:row>
    <x:row r="125" ht="42" customHeight="1">
      <x:c r="A125" s="22" t="n">
        <x:v>4</x:v>
      </x:c>
      <x:c r="B125" s="19" t="str">
        <x:v>Sandworm</x:v>
      </x:c>
      <x:c r="C125" s="24" t="str">
        <x:f>D125&amp;"/"&amp;E125</x:f>
        <x:v>3/3</x:v>
      </x:c>
      <x:c r="D125" s="22" t="n">
        <x:v>3</x:v>
      </x:c>
      <x:c r="E125" s="22" t="n">
        <x:v>3</x:v>
      </x:c>
      <x:c r="F125" s="24" t="str">
        <x:v>Rare</x:v>
      </x:c>
      <x:c r="G125" s="24" t="str">
        <x:v>Nature</x:v>
      </x:c>
      <x:c r="H125" s="24" t="str">
        <x:v>Neutral</x:v>
      </x:c>
      <x:c r="I125" s="18" t="str">
        <x:v>Taunt. Passive: Cannot be damaged by minions with 3 or less ATK</x:v>
      </x:c>
      <x:c r="J125" s="18" t="str">
        <x:v>The desert itself has teeth.</x:v>
      </x:c>
      <x:c r="K125" s="18" t="str">
        <x:v>Dune</x:v>
      </x:c>
      <x:c r="L125" s="17" t="str">
        <x:v>c006</x:v>
      </x:c>
    </x:row>
    <x:row r="126" ht="42" customHeight="1">
      <x:c r="A126" s="21" t="n">
        <x:v>4</x:v>
      </x:c>
      <x:c r="B126" s="14" t="str">
        <x:v>Sans</x:v>
      </x:c>
      <x:c r="C126" s="23" t="str">
        <x:f>D126&amp;"/"&amp;E126</x:f>
        <x:v>2/1</x:v>
      </x:c>
      <x:c r="D126" s="21" t="n">
        <x:v>2</x:v>
      </x:c>
      <x:c r="E126" s="21" t="n">
        <x:v>1</x:v>
      </x:c>
      <x:c r="F126" s="23" t="str">
        <x:v>Epic</x:v>
      </x:c>
      <x:c r="G126" s="23" t="str">
        <x:v>Magic</x:v>
      </x:c>
      <x:c r="H126" s="23" t="str">
        <x:v>Neutral</x:v>
      </x:c>
      <x:c r="I126" s="13" t="str">
        <x:v>Passive: Evade 80% of attacks</x:v>
      </x:c>
      <x:c r="J126" s="13" t="str">
        <x:v>HELLO, WORLD!</x:v>
      </x:c>
      <x:c r="K126" s="13" t="str">
        <x:v>Undertale</x:v>
      </x:c>
      <x:c r="L126" s="12" t="str">
        <x:v>c063</x:v>
      </x:c>
    </x:row>
    <x:row r="127" ht="42" customHeight="1">
      <x:c r="A127" s="22" t="n">
        <x:v>4</x:v>
      </x:c>
      <x:c r="B127" s="19" t="str">
        <x:v>Spider-Man</x:v>
      </x:c>
      <x:c r="C127" s="24" t="str">
        <x:f>D127&amp;"/"&amp;E127</x:f>
        <x:v>3/3</x:v>
      </x:c>
      <x:c r="D127" s="22" t="n">
        <x:v>3</x:v>
      </x:c>
      <x:c r="E127" s="22" t="n">
        <x:v>3</x:v>
      </x:c>
      <x:c r="F127" s="24" t="str">
        <x:v>Rare</x:v>
      </x:c>
      <x:c r="G127" s="24" t="str">
        <x:v>Nature</x:v>
      </x:c>
      <x:c r="H127" s="24" t="str">
        <x:v>Good</x:v>
      </x:c>
      <x:c r="I127" s="18" t="str">
        <x:v>Battlecry: Freeze an enemy minion and halve its ATK</x:v>
      </x:c>
      <x:c r="J127" s="18" t="str">
        <x:v>Responsibility.</x:v>
      </x:c>
      <x:c r="K127" s="18" t="str">
        <x:v>MCU</x:v>
      </x:c>
      <x:c r="L127" s="17" t="str">
        <x:v>c035</x:v>
      </x:c>
    </x:row>
    <x:row r="128" ht="42" customHeight="1">
      <x:c r="A128" s="21" t="n">
        <x:v>4</x:v>
      </x:c>
      <x:c r="B128" s="14" t="str">
        <x:v>Wall of Flesh</x:v>
      </x:c>
      <x:c r="C128" s="23" t="str">
        <x:f>D128&amp;"/"&amp;E128</x:f>
        <x:v>2/5</x:v>
      </x:c>
      <x:c r="D128" s="21" t="n">
        <x:v>2</x:v>
      </x:c>
      <x:c r="E128" s="21" t="n">
        <x:v>5</x:v>
      </x:c>
      <x:c r="F128" s="23" t="str">
        <x:v>Rare</x:v>
      </x:c>
      <x:c r="G128" s="23" t="str">
        <x:v>Nature</x:v>
      </x:c>
      <x:c r="H128" s="23" t="str">
        <x:v>Evil</x:v>
      </x:c>
      <x:c r="I128" s="13" t="str">
        <x:v>Taunt. Ongoing: Deal 1 damage to all other minions</x:v>
      </x:c>
      <x:c r="J128" s="13" t="str">
        <x:v>A living barricade</x:v>
      </x:c>
      <x:c r="K128" s="13" t="str">
        <x:v>Terraria</x:v>
      </x:c>
      <x:c r="L128" s="12" t="str">
        <x:v>c122</x:v>
      </x:c>
    </x:row>
    <x:row r="129" ht="42" customHeight="1">
      <x:c r="A129" s="22" t="n">
        <x:v>4</x:v>
      </x:c>
      <x:c r="B129" s="19" t="str">
        <x:v>Xenomorph Queen</x:v>
      </x:c>
      <x:c r="C129" s="24" t="str">
        <x:f>D129&amp;"/"&amp;E129</x:f>
        <x:v>1/4</x:v>
      </x:c>
      <x:c r="D129" s="22" t="n">
        <x:v>1</x:v>
      </x:c>
      <x:c r="E129" s="22" t="n">
        <x:v>4</x:v>
      </x:c>
      <x:c r="F129" s="24" t="str">
        <x:v>Rare</x:v>
      </x:c>
      <x:c r="G129" s="24" t="str">
        <x:v>Nature</x:v>
      </x:c>
      <x:c r="H129" s="24" t="str">
        <x:v>Evil</x:v>
      </x:c>
      <x:c r="I129" s="18" t="str">
        <x:v>Passive: Whenever a friendly minion dies summon a 1/1 Larva</x:v>
      </x:c>
      <x:c r="J129" s="18" t="str">
        <x:v>The hive has a mother.</x:v>
      </x:c>
      <x:c r="K129" s="18" t="str">
        <x:v>Alien</x:v>
      </x:c>
      <x:c r="L129" s="17" t="str">
        <x:v>c182</x:v>
      </x:c>
    </x:row>
    <x:row r="130" ht="44" customHeight="1">
      <x:c r="A130" s="21" t="n">
        <x:v>4</x:v>
      </x:c>
      <x:c r="B130" s="14" t="str">
        <x:v>Yubaba</x:v>
      </x:c>
      <x:c r="C130" s="23" t="str">
        <x:f>D130&amp;"/"&amp;E130</x:f>
        <x:v>2/2</x:v>
      </x:c>
      <x:c r="D130" s="21" t="n">
        <x:v>2</x:v>
      </x:c>
      <x:c r="E130" s="21" t="n">
        <x:v>2</x:v>
      </x:c>
      <x:c r="F130" s="23" t="str">
        <x:v>Mythic</x:v>
      </x:c>
      <x:c r="G130" s="23" t="str">
        <x:v>Magic</x:v>
      </x:c>
      <x:c r="H130" s="23" t="str">
        <x:v>Evil</x:v>
      </x:c>
      <x:c r="I130" s="13" t="str">
        <x:v>Battlecry: Devolve your enemy minions into random ones that cost 1 less mana</x:v>
      </x:c>
      <x:c r="J130" s="13" t="str">
        <x:v>Are you looking for employment?</x:v>
      </x:c>
      <x:c r="K130" s="13" t="str">
        <x:v>Spirited Away</x:v>
      </x:c>
      <x:c r="L130" s="12" t="str">
        <x:v>c034</x:v>
      </x:c>
    </x:row>
    <x:row r="131" ht="42" customHeight="1">
      <x:c r="A131" s="22" t="n">
        <x:v>4</x:v>
      </x:c>
      <x:c r="B131" s="19" t="str">
        <x:v>Yujiro</x:v>
      </x:c>
      <x:c r="C131" s="24" t="str">
        <x:f>D131&amp;"/"&amp;E131</x:f>
        <x:v>4/4</x:v>
      </x:c>
      <x:c r="D131" s="22" t="n">
        <x:v>4</x:v>
      </x:c>
      <x:c r="E131" s="22" t="n">
        <x:v>4</x:v>
      </x:c>
      <x:c r="F131" s="24" t="str">
        <x:v>Mythic</x:v>
      </x:c>
      <x:c r="G131" s="24" t="str">
        <x:v>Nature</x:v>
      </x:c>
      <x:c r="H131" s="24" t="str">
        <x:v>Evil</x:v>
      </x:c>
      <x:c r="I131" s="18" t="str">
        <x:v>Passive: Immune to Nature minions</x:v>
      </x:c>
      <x:c r="J131" s="18" t="str">
        <x:v>The strongest man alive.</x:v>
      </x:c>
      <x:c r="K131" s="18" t="str">
        <x:v>Baki</x:v>
      </x:c>
      <x:c r="L131" s="17" t="str">
        <x:v>c033</x:v>
      </x:c>
    </x:row>
    <x:row r="132" ht="42" customHeight="1">
      <x:c r="A132" s="21" t="n">
        <x:v>3</x:v>
      </x:c>
      <x:c r="B132" s="14" t="str">
        <x:v>Aizawa</x:v>
      </x:c>
      <x:c r="C132" s="23" t="str">
        <x:f>D132&amp;"/"&amp;E132</x:f>
        <x:v>2/2</x:v>
      </x:c>
      <x:c r="D132" s="21" t="n">
        <x:v>2</x:v>
      </x:c>
      <x:c r="E132" s="21" t="n">
        <x:v>2</x:v>
      </x:c>
      <x:c r="F132" s="23" t="str">
        <x:v>Legendary</x:v>
      </x:c>
      <x:c r="G132" s="23" t="str">
        <x:v>Magic</x:v>
      </x:c>
      <x:c r="H132" s="23" t="str">
        <x:v>Good</x:v>
      </x:c>
      <x:c r="I132" s="13" t="str">
        <x:v>Battlecry: Silence an enemy minion of your choice</x:v>
      </x:c>
      <x:c r="J132" s="13" t="str">
        <x:v>All it takes is one look</x:v>
      </x:c>
      <x:c r="K132" s="13" t="str">
        <x:v>MHA</x:v>
      </x:c>
      <x:c r="L132" s="12" t="str">
        <x:v>c125</x:v>
      </x:c>
    </x:row>
    <x:row r="133" ht="42" customHeight="1">
      <x:c r="A133" s="22" t="n">
        <x:v>3</x:v>
      </x:c>
      <x:c r="B133" s="19" t="str">
        <x:v>Dabi</x:v>
      </x:c>
      <x:c r="C133" s="24" t="str">
        <x:f>D133&amp;"/"&amp;E133</x:f>
        <x:v>3/3</x:v>
      </x:c>
      <x:c r="D133" s="22" t="n">
        <x:v>3</x:v>
      </x:c>
      <x:c r="E133" s="22" t="n">
        <x:v>3</x:v>
      </x:c>
      <x:c r="F133" s="24" t="str">
        <x:v>Epic</x:v>
      </x:c>
      <x:c r="G133" s="24" t="str">
        <x:v>Magic</x:v>
      </x:c>
      <x:c r="H133" s="24" t="str">
        <x:v>Evil</x:v>
      </x:c>
      <x:c r="I133" s="18" t="str">
        <x:v>Battlecry: Deal 1 damage to all other minions</x:v>
      </x:c>
      <x:c r="J133" s="18" t="str">
        <x:v>He burns with anger</x:v>
      </x:c>
      <x:c r="K133" s="18" t="str">
        <x:v>MHA</x:v>
      </x:c>
      <x:c r="L133" s="17" t="str">
        <x:v>c129</x:v>
      </x:c>
    </x:row>
    <x:row r="134" ht="44" customHeight="1">
      <x:c r="A134" s="21" t="n">
        <x:v>3</x:v>
      </x:c>
      <x:c r="B134" s="14" t="str">
        <x:v>Darkwing</x:v>
      </x:c>
      <x:c r="C134" s="23" t="str">
        <x:f>D134&amp;"/"&amp;E134</x:f>
        <x:v>2/2</x:v>
      </x:c>
      <x:c r="D134" s="21" t="n">
        <x:v>2</x:v>
      </x:c>
      <x:c r="E134" s="21" t="n">
        <x:v>2</x:v>
      </x:c>
      <x:c r="F134" s="23" t="str">
        <x:v>Mythic</x:v>
      </x:c>
      <x:c r="G134" s="23" t="str">
        <x:v>Tech</x:v>
      </x:c>
      <x:c r="H134" s="23" t="str">
        <x:v>Good</x:v>
      </x:c>
      <x:c r="I134" s="13" t="str">
        <x:v>Deathrattle: The minion which kills this minion also dies right after</x:v>
      </x:c>
      <x:c r="J134" s="13" t="str">
        <x:v>He knew the cost</x:v>
      </x:c>
      <x:c r="K134" s="13" t="str">
        <x:v>Invincible</x:v>
      </x:c>
      <x:c r="L134" s="12" t="str">
        <x:v>c123</x:v>
      </x:c>
    </x:row>
    <x:row r="135" ht="42" customHeight="1">
      <x:c r="A135" s="22" t="n">
        <x:v>3</x:v>
      </x:c>
      <x:c r="B135" s="19" t="str">
        <x:v>Deep Sea King</x:v>
      </x:c>
      <x:c r="C135" s="24" t="str">
        <x:f>D135&amp;"/"&amp;E135</x:f>
        <x:v>3/3</x:v>
      </x:c>
      <x:c r="D135" s="22" t="n">
        <x:v>3</x:v>
      </x:c>
      <x:c r="E135" s="22" t="n">
        <x:v>3</x:v>
      </x:c>
      <x:c r="F135" s="24" t="str">
        <x:v>Rare</x:v>
      </x:c>
      <x:c r="G135" s="24" t="str">
        <x:v>Nature</x:v>
      </x:c>
      <x:c r="H135" s="24" t="str">
        <x:v>Evil</x:v>
      </x:c>
      <x:c r="I135" s="18" t="str">
        <x:v>Passive: Costs 3 less while any minion is Frozen or Chained</x:v>
      </x:c>
      <x:c r="J135" s="18" t="str">
        <x:v>This is why you stay out of the ocean.</x:v>
      </x:c>
      <x:c r="K135" s="18" t="str">
        <x:v>OPM</x:v>
      </x:c>
      <x:c r="L135" s="17" t="str">
        <x:v>c039</x:v>
      </x:c>
    </x:row>
    <x:row r="136" ht="42" customHeight="1">
      <x:c r="A136" s="21" t="n">
        <x:v>3</x:v>
      </x:c>
      <x:c r="B136" s="14" t="str">
        <x:v>Eye of Sauron</x:v>
      </x:c>
      <x:c r="C136" s="23" t="str">
        <x:f>D136&amp;"/"&amp;E136</x:f>
        <x:v>0/4</x:v>
      </x:c>
      <x:c r="D136" s="21" t="n">
        <x:v>0</x:v>
      </x:c>
      <x:c r="E136" s="21" t="n">
        <x:v>4</x:v>
      </x:c>
      <x:c r="F136" s="23" t="str">
        <x:v>Legendary</x:v>
      </x:c>
      <x:c r="G136" s="23" t="str">
        <x:v>Magic</x:v>
      </x:c>
      <x:c r="H136" s="23" t="str">
        <x:v>Evil</x:v>
      </x:c>
      <x:c r="I136" s="13" t="str">
        <x:v>Passive: Enemy Magic minions cost 2 more</x:v>
      </x:c>
      <x:c r="J136" s="13" t="str">
        <x:v>Try and hide.</x:v>
      </x:c>
      <x:c r="K136" s="13" t="str">
        <x:v>Lord of the Rings</x:v>
      </x:c>
      <x:c r="L136" s="12" t="str">
        <x:v>c037</x:v>
      </x:c>
    </x:row>
    <x:row r="137" ht="44" customHeight="1">
      <x:c r="A137" s="22" t="n">
        <x:v>3</x:v>
      </x:c>
      <x:c r="B137" s="19" t="str">
        <x:v>Flowey</x:v>
      </x:c>
      <x:c r="C137" s="24" t="str">
        <x:f>D137&amp;"/"&amp;E137</x:f>
        <x:v>2/2</x:v>
      </x:c>
      <x:c r="D137" s="22" t="n">
        <x:v>2</x:v>
      </x:c>
      <x:c r="E137" s="22" t="n">
        <x:v>2</x:v>
      </x:c>
      <x:c r="F137" s="24" t="str">
        <x:v>Legendary</x:v>
      </x:c>
      <x:c r="G137" s="24" t="str">
        <x:v>Magic</x:v>
      </x:c>
      <x:c r="H137" s="24" t="str">
        <x:v>Evil</x:v>
      </x:c>
      <x:c r="I137" s="18" t="str">
        <x:v>Battlecry: Save your core's current HP. Deathrattle: Set your core to the saved HP</x:v>
      </x:c>
      <x:c r="J137" s="18" t="str">
        <x:v>Friendliness is a face you put on.</x:v>
      </x:c>
      <x:c r="K137" s="18" t="str">
        <x:v>Undertale</x:v>
      </x:c>
      <x:c r="L137" s="17" t="str">
        <x:v>c161</x:v>
      </x:c>
    </x:row>
    <x:row r="138" ht="44" customHeight="1">
      <x:c r="A138" s="21" t="n">
        <x:v>3</x:v>
      </x:c>
      <x:c r="B138" s="14" t="str">
        <x:v>Giant Crystal</x:v>
      </x:c>
      <x:c r="C138" s="23" t="str">
        <x:f>D138&amp;"/"&amp;E138</x:f>
        <x:v>1/1</x:v>
      </x:c>
      <x:c r="D138" s="21" t="n">
        <x:v>1</x:v>
      </x:c>
      <x:c r="E138" s="21" t="n">
        <x:v>1</x:v>
      </x:c>
      <x:c r="F138" s="23" t="str">
        <x:v>Rare</x:v>
      </x:c>
      <x:c r="G138" s="23" t="str">
        <x:v>Magic</x:v>
      </x:c>
      <x:c r="H138" s="23" t="str">
        <x:v>Neutral</x:v>
      </x:c>
      <x:c r="I138" s="13" t="str">
        <x:v>Divine Shield. Ongoing: Give all other friendly Magic minions +2/+1</x:v>
      </x:c>
      <x:c r="J138" s="13" t="str">
        <x:v>Spawnpoint</x:v>
      </x:c>
      <x:c r="K138" s="13" t="str">
        <x:v>Core</x:v>
      </x:c>
      <x:c r="L138" s="12" t="str">
        <x:v>c137</x:v>
      </x:c>
    </x:row>
    <x:row r="139" ht="42" customHeight="1">
      <x:c r="A139" s="22" t="n">
        <x:v>3</x:v>
      </x:c>
      <x:c r="B139" s="19" t="str">
        <x:v>Giant Tree</x:v>
      </x:c>
      <x:c r="C139" s="24" t="str">
        <x:f>D139&amp;"/"&amp;E139</x:f>
        <x:v>1/1</x:v>
      </x:c>
      <x:c r="D139" s="22" t="n">
        <x:v>1</x:v>
      </x:c>
      <x:c r="E139" s="22" t="n">
        <x:v>1</x:v>
      </x:c>
      <x:c r="F139" s="24" t="str">
        <x:v>Rare</x:v>
      </x:c>
      <x:c r="G139" s="24" t="str">
        <x:v>Nature</x:v>
      </x:c>
      <x:c r="H139" s="24" t="str">
        <x:v>Neutral</x:v>
      </x:c>
      <x:c r="I139" s="18" t="str">
        <x:v>Passive: All other friendly Nature minions have +2/+1</x:v>
      </x:c>
      <x:c r="J139" s="18" t="str">
        <x:v>Older than the roots it feeds.</x:v>
      </x:c>
      <x:c r="K139" s="18" t="str">
        <x:v>Core</x:v>
      </x:c>
      <x:c r="L139" s="17" t="str">
        <x:v>c138</x:v>
      </x:c>
    </x:row>
    <x:row r="140" ht="44" customHeight="1">
      <x:c r="A140" s="21" t="n">
        <x:v>3</x:v>
      </x:c>
      <x:c r="B140" s="14" t="str">
        <x:v>Godrick the Grafted</x:v>
      </x:c>
      <x:c r="C140" s="23" t="str">
        <x:f>D140&amp;"/"&amp;E140</x:f>
        <x:v>2/2</x:v>
      </x:c>
      <x:c r="D140" s="21" t="n">
        <x:v>2</x:v>
      </x:c>
      <x:c r="E140" s="21" t="n">
        <x:v>2</x:v>
      </x:c>
      <x:c r="F140" s="23" t="str">
        <x:v>Epic</x:v>
      </x:c>
      <x:c r="G140" s="23" t="str">
        <x:v>Magic</x:v>
      </x:c>
      <x:c r="H140" s="23" t="str">
        <x:v>Evil</x:v>
      </x:c>
      <x:c r="I140" s="13" t="str">
        <x:v>Battlecry: Destroy a friendly minion to gain its stats and effects</x:v>
      </x:c>
      <x:c r="J140" s="13" t="str">
        <x:v>Grafted</x:v>
      </x:c>
      <x:c r="K140" s="13" t="str">
        <x:v>Elden Ring</x:v>
      </x:c>
      <x:c r="L140" s="12" t="str">
        <x:v>c130</x:v>
      </x:c>
    </x:row>
    <x:row r="141" ht="42" customHeight="1">
      <x:c r="A141" s="22" t="n">
        <x:v>3</x:v>
      </x:c>
      <x:c r="B141" s="19" t="str">
        <x:v>Guts</x:v>
      </x:c>
      <x:c r="C141" s="24" t="str">
        <x:f>D141&amp;"/"&amp;E141</x:f>
        <x:v>1/1</x:v>
      </x:c>
      <x:c r="D141" s="22" t="n">
        <x:v>1</x:v>
      </x:c>
      <x:c r="E141" s="22" t="n">
        <x:v>1</x:v>
      </x:c>
      <x:c r="F141" s="24" t="str">
        <x:v>Rare</x:v>
      </x:c>
      <x:c r="G141" s="24" t="str">
        <x:v>Nature</x:v>
      </x:c>
      <x:c r="H141" s="24" t="str">
        <x:v>Neutral</x:v>
      </x:c>
      <x:c r="I141" s="18" t="str">
        <x:v>Passive: Gains +2/+2 for each 20 HP your Core is missing</x:v>
      </x:c>
      <x:c r="J141" s="18" t="str">
        <x:v>Struggle is the only answer.</x:v>
      </x:c>
      <x:c r="K141" s="18" t="str">
        <x:v>Berserk</x:v>
      </x:c>
      <x:c r="L141" s="17" t="str">
        <x:v>c185</x:v>
      </x:c>
    </x:row>
    <x:row r="142" ht="42" customHeight="1">
      <x:c r="A142" s="21" t="n">
        <x:v>3</x:v>
      </x:c>
      <x:c r="B142" s="14" t="str">
        <x:v>Illumi</x:v>
      </x:c>
      <x:c r="C142" s="23" t="str">
        <x:f>D142&amp;"/"&amp;E142</x:f>
        <x:v>1/1</x:v>
      </x:c>
      <x:c r="D142" s="21" t="n">
        <x:v>1</x:v>
      </x:c>
      <x:c r="E142" s="21" t="n">
        <x:v>1</x:v>
      </x:c>
      <x:c r="F142" s="23" t="str">
        <x:v>Epic</x:v>
      </x:c>
      <x:c r="G142" s="23" t="str">
        <x:v>Magic</x:v>
      </x:c>
      <x:c r="H142" s="23" t="str">
        <x:v>Evil</x:v>
      </x:c>
      <x:c r="I142" s="13" t="str">
        <x:v>Battlecry: Gain control of a minion with 2 HP or less</x:v>
      </x:c>
      <x:c r="J142" s="13" t="str">
        <x:v>Control</x:v>
      </x:c>
      <x:c r="K142" s="13" t="str">
        <x:v>HxH</x:v>
      </x:c>
      <x:c r="L142" s="12" t="str">
        <x:v>c131</x:v>
      </x:c>
    </x:row>
    <x:row r="143" ht="42" customHeight="1">
      <x:c r="A143" s="22" t="n">
        <x:v>3</x:v>
      </x:c>
      <x:c r="B143" s="19" t="str">
        <x:v>Kento Nanami</x:v>
      </x:c>
      <x:c r="C143" s="24" t="str">
        <x:f>D143&amp;"/"&amp;E143</x:f>
        <x:v>1/1</x:v>
      </x:c>
      <x:c r="D143" s="22" t="n">
        <x:v>1</x:v>
      </x:c>
      <x:c r="E143" s="22" t="n">
        <x:v>1</x:v>
      </x:c>
      <x:c r="F143" s="24" t="str">
        <x:v>Epic</x:v>
      </x:c>
      <x:c r="G143" s="24" t="str">
        <x:v>Magic</x:v>
      </x:c>
      <x:c r="H143" s="24" t="str">
        <x:v>Good</x:v>
      </x:c>
      <x:c r="I143" s="18" t="str">
        <x:v>Battlecry: Set an enemy minion's HP to 1</x:v>
      </x:c>
      <x:c r="J143" s="18" t="str">
        <x:v>7:3 Ratio Technique</x:v>
      </x:c>
      <x:c r="K143" s="18" t="str">
        <x:v>Jujutsu Kaisen</x:v>
      </x:c>
      <x:c r="L143" s="17" t="str">
        <x:v>c132</x:v>
      </x:c>
    </x:row>
    <x:row r="144" ht="60" customHeight="1">
      <x:c r="A144" s="21" t="n">
        <x:v>3</x:v>
      </x:c>
      <x:c r="B144" s="14" t="str">
        <x:v>Knov</x:v>
      </x:c>
      <x:c r="C144" s="23" t="str">
        <x:f>D144&amp;"/"&amp;E144</x:f>
        <x:v>1/1</x:v>
      </x:c>
      <x:c r="D144" s="21" t="n">
        <x:v>1</x:v>
      </x:c>
      <x:c r="E144" s="21" t="n">
        <x:v>1</x:v>
      </x:c>
      <x:c r="F144" s="23" t="str">
        <x:v>Mythic</x:v>
      </x:c>
      <x:c r="G144" s="23" t="str">
        <x:v>Magic</x:v>
      </x:c>
      <x:c r="H144" s="23" t="str">
        <x:v>Good</x:v>
      </x:c>
      <x:c r="I144" s="13" t="str">
        <x:v>Battlecry: Choose a friendly and an enemy minion to place in the pocket room, removing them from the board. After 2 turns, return the minion with the higher ATK</x:v>
      </x:c>
      <x:c r="J144" s="13" t="str">
        <x:v>The Room</x:v>
      </x:c>
      <x:c r="K144" s="13" t="str">
        <x:v>HxH</x:v>
      </x:c>
      <x:c r="L144" s="12" t="str">
        <x:v>c124</x:v>
      </x:c>
    </x:row>
    <x:row r="145" ht="44" customHeight="1">
      <x:c r="A145" s="22" t="n">
        <x:v>3</x:v>
      </x:c>
      <x:c r="B145" s="19" t="str">
        <x:v>Knuckle</x:v>
      </x:c>
      <x:c r="C145" s="24" t="str">
        <x:f>D145&amp;"/"&amp;E145</x:f>
        <x:v>0/3</x:v>
      </x:c>
      <x:c r="D145" s="22" t="n">
        <x:v>0</x:v>
      </x:c>
      <x:c r="E145" s="22" t="n">
        <x:v>3</x:v>
      </x:c>
      <x:c r="F145" s="24" t="str">
        <x:v>Rare</x:v>
      </x:c>
      <x:c r="G145" s="24" t="str">
        <x:v>Magic</x:v>
      </x:c>
      <x:c r="H145" s="24" t="str">
        <x:v>Good</x:v>
      </x:c>
      <x:c r="I145" s="18" t="str">
        <x:v>Taunt. Passive: After the enemy minion attacks this minion, it can't attack for 2 turns</x:v>
      </x:c>
      <x:c r="J145" s="18" t="str">
        <x:v>Taxes</x:v>
      </x:c>
      <x:c r="K145" s="18" t="str">
        <x:v>HxH</x:v>
      </x:c>
      <x:c r="L145" s="17" t="str">
        <x:v>c135</x:v>
      </x:c>
    </x:row>
    <x:row r="146" ht="42" customHeight="1">
      <x:c r="A146" s="21" t="n">
        <x:v>3</x:v>
      </x:c>
      <x:c r="B146" s="14" t="str">
        <x:v>Lu Bu</x:v>
      </x:c>
      <x:c r="C146" s="23" t="str">
        <x:f>D146&amp;"/"&amp;E146</x:f>
        <x:v>3/2</x:v>
      </x:c>
      <x:c r="D146" s="21" t="n">
        <x:v>3</x:v>
      </x:c>
      <x:c r="E146" s="21" t="n">
        <x:v>2</x:v>
      </x:c>
      <x:c r="F146" s="23" t="str">
        <x:v>Epic</x:v>
      </x:c>
      <x:c r="G146" s="23" t="str">
        <x:v>Nature</x:v>
      </x:c>
      <x:c r="H146" s="23" t="str">
        <x:v>Neutral</x:v>
      </x:c>
      <x:c r="I146" s="13" t="str">
        <x:v>Charge. Lu Bu can only attack the highest-ATK enemy if one exists</x:v>
      </x:c>
      <x:c r="J146" s="13" t="str">
        <x:v>Match any man, then pass him.</x:v>
      </x:c>
      <x:c r="K146" s="13" t="str">
        <x:v>Record of Ragnarok</x:v>
      </x:c>
      <x:c r="L146" s="12" t="str">
        <x:v>c149</x:v>
      </x:c>
    </x:row>
    <x:row r="147" ht="42" customHeight="1">
      <x:c r="A147" s="22" t="n">
        <x:v>3</x:v>
      </x:c>
      <x:c r="B147" s="19" t="str">
        <x:v>Modern Tank</x:v>
      </x:c>
      <x:c r="C147" s="24" t="str">
        <x:f>D147&amp;"/"&amp;E147</x:f>
        <x:v>2/2</x:v>
      </x:c>
      <x:c r="D147" s="22" t="n">
        <x:v>2</x:v>
      </x:c>
      <x:c r="E147" s="22" t="n">
        <x:v>2</x:v>
      </x:c>
      <x:c r="F147" s="24" t="str">
        <x:v>Rare</x:v>
      </x:c>
      <x:c r="G147" s="24" t="str">
        <x:v>Tech</x:v>
      </x:c>
      <x:c r="H147" s="24" t="str">
        <x:v>Neutral</x:v>
      </x:c>
      <x:c r="I147" s="18" t="str">
        <x:v>Battlecry: Deal 1 damage to an enemy minion</x:v>
      </x:c>
      <x:c r="J147" s="18" t="str">
        <x:v>-</x:v>
      </x:c>
      <x:c r="K147" s="18" t="str">
        <x:v>Basic</x:v>
      </x:c>
      <x:c r="L147" s="17" t="str">
        <x:v>c139</x:v>
      </x:c>
    </x:row>
    <x:row r="148" ht="42" customHeight="1">
      <x:c r="A148" s="21" t="n">
        <x:v>3</x:v>
      </x:c>
      <x:c r="B148" s="14" t="str">
        <x:v>Morgott, the Omen King</x:v>
      </x:c>
      <x:c r="C148" s="23" t="str">
        <x:f>D148&amp;"/"&amp;E148</x:f>
        <x:v>1/1</x:v>
      </x:c>
      <x:c r="D148" s="21" t="n">
        <x:v>1</x:v>
      </x:c>
      <x:c r="E148" s="21" t="n">
        <x:v>1</x:v>
      </x:c>
      <x:c r="F148" s="23" t="str">
        <x:v>Rare</x:v>
      </x:c>
      <x:c r="G148" s="23" t="str">
        <x:v>Magic</x:v>
      </x:c>
      <x:c r="H148" s="23" t="str">
        <x:v>Neutral</x:v>
      </x:c>
      <x:c r="I148" s="13" t="str">
        <x:v>Taunt. Battlecry: Summon Margit (1/1 with Taunt)</x:v>
      </x:c>
      <x:c r="J148" s="13" t="str">
        <x:v>The immovable</x:v>
      </x:c>
      <x:c r="K148" s="13" t="str">
        <x:v>Elden Ring</x:v>
      </x:c>
      <x:c r="L148" s="12" t="str">
        <x:v>c155</x:v>
      </x:c>
    </x:row>
    <x:row r="149" ht="42" customHeight="1">
      <x:c r="A149" s="22" t="n">
        <x:v>3</x:v>
      </x:c>
      <x:c r="B149" s="19" t="str">
        <x:v>RoboCop</x:v>
      </x:c>
      <x:c r="C149" s="24" t="str">
        <x:f>D149&amp;"/"&amp;E149</x:f>
        <x:v>2/4</x:v>
      </x:c>
      <x:c r="D149" s="22" t="n">
        <x:v>2</x:v>
      </x:c>
      <x:c r="E149" s="22" t="n">
        <x:v>4</x:v>
      </x:c>
      <x:c r="F149" s="24" t="str">
        <x:v>Rare</x:v>
      </x:c>
      <x:c r="G149" s="24" t="str">
        <x:v>Tech</x:v>
      </x:c>
      <x:c r="H149" s="24" t="str">
        <x:v>Good</x:v>
      </x:c>
      <x:c r="I149" s="18" t="str">
        <x:v>Passive: Deal 3x damage against Evil minions</x:v>
      </x:c>
      <x:c r="J149" s="18" t="str">
        <x:v>Uphold the law</x:v>
      </x:c>
      <x:c r="K149" s="18" t="str">
        <x:v>RoboCop</x:v>
      </x:c>
      <x:c r="L149" s="17" t="str">
        <x:v>c140</x:v>
      </x:c>
    </x:row>
    <x:row r="150" ht="44" customHeight="1">
      <x:c r="A150" s="21" t="n">
        <x:v>3</x:v>
      </x:c>
      <x:c r="B150" s="14" t="str">
        <x:v>Tai Lung</x:v>
      </x:c>
      <x:c r="C150" s="23" t="str">
        <x:f>D150&amp;"/"&amp;E150</x:f>
        <x:v>3/3</x:v>
      </x:c>
      <x:c r="D150" s="21" t="n">
        <x:v>3</x:v>
      </x:c>
      <x:c r="E150" s="21" t="n">
        <x:v>3</x:v>
      </x:c>
      <x:c r="F150" s="23" t="str">
        <x:v>Epic</x:v>
      </x:c>
      <x:c r="G150" s="23" t="str">
        <x:v>Nature</x:v>
      </x:c>
      <x:c r="H150" s="23" t="str">
        <x:v>Evil</x:v>
      </x:c>
      <x:c r="I150" s="13" t="str">
        <x:v>Chained. Passive: Whenever Tai Lung kills a minion, gain +1/+1 and its keywords</x:v>
      </x:c>
      <x:c r="J150" s="13" t="str">
        <x:v>Imprisoned for 20 years</x:v>
      </x:c>
      <x:c r="K150" s="13" t="str">
        <x:v>Kung-Fu Panda</x:v>
      </x:c>
      <x:c r="L150" s="12" t="str">
        <x:v>c134</x:v>
      </x:c>
    </x:row>
    <x:row r="151" ht="44" customHeight="1">
      <x:c r="A151" s="22" t="n">
        <x:v>3</x:v>
      </x:c>
      <x:c r="B151" s="19" t="str">
        <x:v>Tech Hub</x:v>
      </x:c>
      <x:c r="C151" s="24" t="str">
        <x:f>D151&amp;"/"&amp;E151</x:f>
        <x:v>1/1</x:v>
      </x:c>
      <x:c r="D151" s="22" t="n">
        <x:v>1</x:v>
      </x:c>
      <x:c r="E151" s="22" t="n">
        <x:v>1</x:v>
      </x:c>
      <x:c r="F151" s="24" t="str">
        <x:v>Rare</x:v>
      </x:c>
      <x:c r="G151" s="24" t="str">
        <x:v>Tech</x:v>
      </x:c>
      <x:c r="H151" s="24" t="str">
        <x:v>Neutral</x:v>
      </x:c>
      <x:c r="I151" s="18" t="str">
        <x:v>Divine Shield. Ongoing: Give all other friendly Tech minions +2/+1</x:v>
      </x:c>
      <x:c r="J151" s="18" t="str">
        <x:v>Every machine came from somewhere. This is that somewhere</x:v>
      </x:c>
      <x:c r="K151" s="18" t="str">
        <x:v>Core</x:v>
      </x:c>
      <x:c r="L151" s="17" t="str">
        <x:v>c141</x:v>
      </x:c>
    </x:row>
    <x:row r="152" ht="42" customHeight="1">
      <x:c r="A152" s="21" t="n">
        <x:v>3</x:v>
      </x:c>
      <x:c r="B152" s="14" t="str">
        <x:v>The Five Convicts</x:v>
      </x:c>
      <x:c r="C152" s="23" t="str">
        <x:f>D152&amp;"/"&amp;E152</x:f>
        <x:v>5/1</x:v>
      </x:c>
      <x:c r="D152" s="21" t="n">
        <x:v>5</x:v>
      </x:c>
      <x:c r="E152" s="21" t="n">
        <x:v>1</x:v>
      </x:c>
      <x:c r="F152" s="23" t="str">
        <x:v>Legendary</x:v>
      </x:c>
      <x:c r="G152" s="23" t="str">
        <x:v>Nature</x:v>
      </x:c>
      <x:c r="H152" s="23" t="str">
        <x:v>Evil</x:v>
      </x:c>
      <x:c r="I152" s="13" t="str">
        <x:v>Taunt</x:v>
      </x:c>
      <x:c r="J152" s="13" t="str">
        <x:v>death sentence</x:v>
      </x:c>
      <x:c r="K152" s="13" t="str">
        <x:v>Baki</x:v>
      </x:c>
      <x:c r="L152" s="12" t="str">
        <x:v>c128</x:v>
      </x:c>
    </x:row>
    <x:row r="153" ht="44" customHeight="1">
      <x:c r="A153" s="22" t="n">
        <x:v>3</x:v>
      </x:c>
      <x:c r="B153" s="19" t="str">
        <x:v>Yoriichi Type Zero</x:v>
      </x:c>
      <x:c r="C153" s="24" t="str">
        <x:f>D153&amp;"/"&amp;E153</x:f>
        <x:v>2/2</x:v>
      </x:c>
      <x:c r="D153" s="22" t="n">
        <x:v>2</x:v>
      </x:c>
      <x:c r="E153" s="22" t="n">
        <x:v>2</x:v>
      </x:c>
      <x:c r="F153" s="24" t="str">
        <x:v>Rare</x:v>
      </x:c>
      <x:c r="G153" s="24" t="str">
        <x:v>Tech</x:v>
      </x:c>
      <x:c r="H153" s="24" t="str">
        <x:v>Neutral</x:v>
      </x:c>
      <x:c r="I153" s="18" t="str">
        <x:v>Passive: Whenever a friendly minion survives a combat, it gains +1/+1</x:v>
      </x:c>
      <x:c r="J153" s="18" t="str">
        <x:v>Strongest puppet</x:v>
      </x:c>
      <x:c r="K153" s="18" t="str">
        <x:v>Demon Slayer</x:v>
      </x:c>
      <x:c r="L153" s="17" t="str">
        <x:v>c093</x:v>
      </x:c>
    </x:row>
    <x:row r="154" ht="44" customHeight="1">
      <x:c r="A154" s="21" t="n">
        <x:v>2</x:v>
      </x:c>
      <x:c r="B154" s="14" t="str">
        <x:v>Batman</x:v>
      </x:c>
      <x:c r="C154" s="23" t="str">
        <x:f>D154&amp;"/"&amp;E154</x:f>
        <x:v>1/1</x:v>
      </x:c>
      <x:c r="D154" s="21" t="n">
        <x:v>1</x:v>
      </x:c>
      <x:c r="E154" s="21" t="n">
        <x:v>1</x:v>
      </x:c>
      <x:c r="F154" s="23" t="str">
        <x:v>Epic</x:v>
      </x:c>
      <x:c r="G154" s="23" t="str">
        <x:v>Tech</x:v>
      </x:c>
      <x:c r="H154" s="23" t="str">
        <x:v>Good</x:v>
      </x:c>
      <x:c r="I154" s="13" t="str">
        <x:v>Battlecry: Choose an enemy minion. Choose one gadget: Freeze it; Silence it; or give it -3 ATK</x:v>
      </x:c>
      <x:c r="J154" s="13" t="str">
        <x:v>Preparation beats power.</x:v>
      </x:c>
      <x:c r="K154" s="13" t="str">
        <x:v>DCEU</x:v>
      </x:c>
      <x:c r="L154" s="12" t="str">
        <x:v>c005</x:v>
      </x:c>
    </x:row>
    <x:row r="155" ht="42" customHeight="1">
      <x:c r="A155" s="22" t="n">
        <x:v>2</x:v>
      </x:c>
      <x:c r="B155" s="19" t="str">
        <x:v>Bigfoot</x:v>
      </x:c>
      <x:c r="C155" s="24" t="str">
        <x:f>D155&amp;"/"&amp;E155</x:f>
        <x:v>2/2</x:v>
      </x:c>
      <x:c r="D155" s="22" t="n">
        <x:v>2</x:v>
      </x:c>
      <x:c r="E155" s="22" t="n">
        <x:v>2</x:v>
      </x:c>
      <x:c r="F155" s="24" t="str">
        <x:v>Rare</x:v>
      </x:c>
      <x:c r="G155" s="24" t="str">
        <x:v>Nature</x:v>
      </x:c>
      <x:c r="H155" s="24" t="str">
        <x:v>Neutral</x:v>
      </x:c>
      <x:c r="I155" s="18" t="str">
        <x:v>Passive: Evades 50% of incoming attacks</x:v>
      </x:c>
      <x:c r="J155" s="18" t="str">
        <x:v>The woods answer with silence.</x:v>
      </x:c>
      <x:c r="K155" s="18" t="str">
        <x:v>Myth</x:v>
      </x:c>
      <x:c r="L155" s="17" t="str">
        <x:v>c004</x:v>
      </x:c>
    </x:row>
    <x:row r="156" ht="42" customHeight="1">
      <x:c r="A156" s="21" t="n">
        <x:v>2</x:v>
      </x:c>
      <x:c r="B156" s="14" t="str">
        <x:v>Black Ops</x:v>
      </x:c>
      <x:c r="C156" s="23" t="str">
        <x:f>D156&amp;"/"&amp;E156</x:f>
        <x:v>2/2</x:v>
      </x:c>
      <x:c r="D156" s="21" t="n">
        <x:v>2</x:v>
      </x:c>
      <x:c r="E156" s="21" t="n">
        <x:v>2</x:v>
      </x:c>
      <x:c r="F156" s="23" t="str">
        <x:v>Rare</x:v>
      </x:c>
      <x:c r="G156" s="23" t="str">
        <x:v>Tech</x:v>
      </x:c>
      <x:c r="H156" s="23" t="str">
        <x:v>Neutral</x:v>
      </x:c>
      <x:c r="I156" s="13" t="str">
        <x:v>Passive: Ignore Taunt</x:v>
      </x:c>
      <x:c r="J156" s="13" t="str">
        <x:v>Classified</x:v>
      </x:c>
      <x:c r="K156" s="13" t="str">
        <x:v>Basic</x:v>
      </x:c>
      <x:c r="L156" s="12" t="str">
        <x:v>c153</x:v>
      </x:c>
    </x:row>
    <x:row r="157" ht="42" customHeight="1">
      <x:c r="A157" s="22" t="n">
        <x:v>2</x:v>
      </x:c>
      <x:c r="B157" s="19" t="str">
        <x:v>Cecil</x:v>
      </x:c>
      <x:c r="C157" s="24" t="str">
        <x:f>D157&amp;"/"&amp;E157</x:f>
        <x:v>1/1</x:v>
      </x:c>
      <x:c r="D157" s="22" t="n">
        <x:v>1</x:v>
      </x:c>
      <x:c r="E157" s="22" t="n">
        <x:v>1</x:v>
      </x:c>
      <x:c r="F157" s="24" t="str">
        <x:v>Legendary</x:v>
      </x:c>
      <x:c r="G157" s="24" t="str">
        <x:v>Tech</x:v>
      </x:c>
      <x:c r="H157" s="24" t="str">
        <x:v>Neutral</x:v>
      </x:c>
      <x:c r="I157" s="18" t="str">
        <x:v>Battlecry: Return a friendly minion to your hand</x:v>
      </x:c>
      <x:c r="J157" s="18" t="str">
        <x:v>Nothing personal. Just cleanup.</x:v>
      </x:c>
      <x:c r="K157" s="18" t="str">
        <x:v>Invincible</x:v>
      </x:c>
      <x:c r="L157" s="17" t="str">
        <x:v>c144</x:v>
      </x:c>
    </x:row>
    <x:row r="158" ht="42" customHeight="1">
      <x:c r="A158" s="21" t="n">
        <x:v>2</x:v>
      </x:c>
      <x:c r="B158" s="14" t="str">
        <x:v>Dr. Heinz Doofenshmirtz</x:v>
      </x:c>
      <x:c r="C158" s="23" t="str">
        <x:f>D158&amp;"/"&amp;E158</x:f>
        <x:v>2/2</x:v>
      </x:c>
      <x:c r="D158" s="21" t="n">
        <x:v>2</x:v>
      </x:c>
      <x:c r="E158" s="21" t="n">
        <x:v>2</x:v>
      </x:c>
      <x:c r="F158" s="23" t="str">
        <x:v>Epic</x:v>
      </x:c>
      <x:c r="G158" s="23" t="str">
        <x:v>Tech</x:v>
      </x:c>
      <x:c r="H158" s="23" t="str">
        <x:v>Neutral</x:v>
      </x:c>
      <x:c r="I158" s="13" t="str">
        <x:v>Ongoing: 50% to die and 50% to double your stats</x:v>
      </x:c>
      <x:c r="J158" s="13" t="str">
        <x:v>Your doom will be unnecessarily complicated</x:v>
      </x:c>
      <x:c r="K158" s="13" t="str">
        <x:v>Phineas and Ferb universe</x:v>
      </x:c>
      <x:c r="L158" s="12" t="str">
        <x:v>c164</x:v>
      </x:c>
    </x:row>
    <x:row r="159" ht="44" customHeight="1">
      <x:c r="A159" s="22" t="n">
        <x:v>2</x:v>
      </x:c>
      <x:c r="B159" s="19" t="str">
        <x:v>Kaku Kaioh</x:v>
      </x:c>
      <x:c r="C159" s="24" t="str">
        <x:f>D159&amp;"/"&amp;E159</x:f>
        <x:v>1/2</x:v>
      </x:c>
      <x:c r="D159" s="22" t="n">
        <x:v>1</x:v>
      </x:c>
      <x:c r="E159" s="22" t="n">
        <x:v>2</x:v>
      </x:c>
      <x:c r="F159" s="24" t="str">
        <x:v>Legendary</x:v>
      </x:c>
      <x:c r="G159" s="24" t="str">
        <x:v>Nature</x:v>
      </x:c>
      <x:c r="H159" s="24" t="str">
        <x:v>Good</x:v>
      </x:c>
      <x:c r="I159" s="18" t="str">
        <x:v>Passive: Evades 50% of attacks. Whenever he evades, the attacker takes damage equal to its own ATK</x:v>
      </x:c>
      <x:c r="J159" s="18" t="str">
        <x:v>162 years old</x:v>
      </x:c>
      <x:c r="K159" s="18" t="str">
        <x:v>Baki</x:v>
      </x:c>
      <x:c r="L159" s="17" t="str">
        <x:v>c145</x:v>
      </x:c>
    </x:row>
    <x:row r="160" ht="42" customHeight="1">
      <x:c r="A160" s="21" t="n">
        <x:v>2</x:v>
      </x:c>
      <x:c r="B160" s="14" t="str">
        <x:v>Kiritsugu Emiya</x:v>
      </x:c>
      <x:c r="C160" s="23" t="str">
        <x:f>D160&amp;"/"&amp;E160</x:f>
        <x:v>1/1</x:v>
      </x:c>
      <x:c r="D160" s="21" t="n">
        <x:v>1</x:v>
      </x:c>
      <x:c r="E160" s="21" t="n">
        <x:v>1</x:v>
      </x:c>
      <x:c r="F160" s="23" t="str">
        <x:v>Legendary</x:v>
      </x:c>
      <x:c r="G160" s="23" t="str">
        <x:v>Tech</x:v>
      </x:c>
      <x:c r="H160" s="23" t="str">
        <x:v>Neutral</x:v>
      </x:c>
      <x:c r="I160" s="13" t="str">
        <x:v>Battlecry: Freeze and silence an enemy minion</x:v>
      </x:c>
      <x:c r="J160" s="13" t="str">
        <x:v>He walks alone</x:v>
      </x:c>
      <x:c r="K160" s="13" t="str">
        <x:v>Fate</x:v>
      </x:c>
      <x:c r="L160" s="12" t="str">
        <x:v>c146</x:v>
      </x:c>
    </x:row>
    <x:row r="161" ht="44" customHeight="1">
      <x:c r="A161" s="22" t="n">
        <x:v>2</x:v>
      </x:c>
      <x:c r="B161" s="19" t="str">
        <x:v>Kureo Mado</x:v>
      </x:c>
      <x:c r="C161" s="24" t="str">
        <x:f>D161&amp;"/"&amp;E161</x:f>
        <x:v>1/1</x:v>
      </x:c>
      <x:c r="D161" s="22" t="n">
        <x:v>1</x:v>
      </x:c>
      <x:c r="E161" s="22" t="n">
        <x:v>1</x:v>
      </x:c>
      <x:c r="F161" s="24" t="str">
        <x:v>Legendary</x:v>
      </x:c>
      <x:c r="G161" s="24" t="str">
        <x:v>Tech</x:v>
      </x:c>
      <x:c r="H161" s="24" t="str">
        <x:v>Neutral</x:v>
      </x:c>
      <x:c r="I161" s="18" t="str">
        <x:v>Battlecry: Take an enemy minion's Ascension Relic and equip it to Kureo</x:v>
      </x:c>
      <x:c r="J161" s="18" t="str">
        <x:v>Mad hunter</x:v>
      </x:c>
      <x:c r="K161" s="18" t="str">
        <x:v>Tokyo Ghoul</x:v>
      </x:c>
      <x:c r="L161" s="17" t="str">
        <x:v>c147</x:v>
      </x:c>
    </x:row>
    <x:row r="162" ht="42" customHeight="1">
      <x:c r="A162" s="21" t="n">
        <x:v>2</x:v>
      </x:c>
      <x:c r="B162" s="14" t="str">
        <x:v>Kurogiri</x:v>
      </x:c>
      <x:c r="C162" s="23" t="str">
        <x:f>D162&amp;"/"&amp;E162</x:f>
        <x:v>1/1</x:v>
      </x:c>
      <x:c r="D162" s="21" t="n">
        <x:v>1</x:v>
      </x:c>
      <x:c r="E162" s="21" t="n">
        <x:v>1</x:v>
      </x:c>
      <x:c r="F162" s="23" t="str">
        <x:v>Epic</x:v>
      </x:c>
      <x:c r="G162" s="23" t="str">
        <x:v>Magic</x:v>
      </x:c>
      <x:c r="H162" s="23" t="str">
        <x:v>Evil</x:v>
      </x:c>
      <x:c r="I162" s="13" t="str">
        <x:v>Battlecry: All minions attack randomly next turn</x:v>
      </x:c>
      <x:c r="J162" s="13" t="str">
        <x:v>Every exit leads somewhere else.</x:v>
      </x:c>
      <x:c r="K162" s="13" t="str">
        <x:v>MHA</x:v>
      </x:c>
      <x:c r="L162" s="12" t="str">
        <x:v>c148</x:v>
      </x:c>
    </x:row>
    <x:row r="163" ht="44" customHeight="1">
      <x:c r="A163" s="22" t="n">
        <x:v>2</x:v>
      </x:c>
      <x:c r="B163" s="19" t="str">
        <x:v>Meleoron</x:v>
      </x:c>
      <x:c r="C163" s="24" t="str">
        <x:f>D163&amp;"/"&amp;E163</x:f>
        <x:v>0/1</x:v>
      </x:c>
      <x:c r="D163" s="22" t="n">
        <x:v>0</x:v>
      </x:c>
      <x:c r="E163" s="22" t="n">
        <x:v>1</x:v>
      </x:c>
      <x:c r="F163" s="24" t="str">
        <x:v>Epic</x:v>
      </x:c>
      <x:c r="G163" s="24" t="str">
        <x:v>Magic</x:v>
      </x:c>
      <x:c r="H163" s="24" t="str">
        <x:v>Good</x:v>
      </x:c>
      <x:c r="I163" s="18" t="str">
        <x:v>Passive: Choose a friendly minion. It ignores Taunt and cannot be targeted as long as Meleoron is alive</x:v>
      </x:c>
      <x:c r="J163" s="18" t="str">
        <x:v>True invisibility</x:v>
      </x:c>
      <x:c r="K163" s="18" t="str">
        <x:v>HxH</x:v>
      </x:c>
      <x:c r="L163" s="17" t="str">
        <x:v>c150</x:v>
      </x:c>
    </x:row>
    <x:row r="164" ht="42" customHeight="1">
      <x:c r="A164" s="21" t="n">
        <x:v>2</x:v>
      </x:c>
      <x:c r="B164" s="14" t="str">
        <x:v>Mr. Oliva</x:v>
      </x:c>
      <x:c r="C164" s="23" t="str">
        <x:f>D164&amp;"/"&amp;E164</x:f>
        <x:v>3/2</x:v>
      </x:c>
      <x:c r="D164" s="21" t="n">
        <x:v>3</x:v>
      </x:c>
      <x:c r="E164" s="21" t="n">
        <x:v>2</x:v>
      </x:c>
      <x:c r="F164" s="23" t="str">
        <x:v>Epic</x:v>
      </x:c>
      <x:c r="G164" s="23" t="str">
        <x:v>Nature</x:v>
      </x:c>
      <x:c r="H164" s="23" t="str">
        <x:v>Neutral</x:v>
      </x:c>
      <x:c r="I164" s="13" t="str">
        <x:v>Passive: Can only be damaged by ATK of 2 and higher</x:v>
      </x:c>
      <x:c r="J164" s="13" t="str">
        <x:v>Unchained</x:v>
      </x:c>
      <x:c r="K164" s="13" t="str">
        <x:v>Baki</x:v>
      </x:c>
      <x:c r="L164" s="12" t="str">
        <x:v>c151</x:v>
      </x:c>
    </x:row>
    <x:row r="165" ht="42" customHeight="1">
      <x:c r="A165" s="22" t="n">
        <x:v>2</x:v>
      </x:c>
      <x:c r="B165" s="19" t="str">
        <x:v>Ouken</x:v>
      </x:c>
      <x:c r="C165" s="24" t="str">
        <x:f>D165&amp;"/"&amp;E165</x:f>
        <x:v>2/1</x:v>
      </x:c>
      <x:c r="D165" s="22" t="n">
        <x:v>2</x:v>
      </x:c>
      <x:c r="E165" s="22" t="n">
        <x:v>1</x:v>
      </x:c>
      <x:c r="F165" s="24" t="str">
        <x:v>Rare</x:v>
      </x:c>
      <x:c r="G165" s="24" t="str">
        <x:v>Magic</x:v>
      </x:c>
      <x:c r="H165" s="24" t="str">
        <x:v>Evil</x:v>
      </x:c>
      <x:c r="I165" s="18" t="str">
        <x:v>Reborn infinitely. Become Chained after each Reborn</x:v>
      </x:c>
      <x:c r="J165" s="18" t="str">
        <x:v>Immortality cost him everything</x:v>
      </x:c>
      <x:c r="K165" s="18" t="str">
        <x:v>Ranking of Kings</x:v>
      </x:c>
      <x:c r="L165" s="17" t="str">
        <x:v>c156</x:v>
      </x:c>
    </x:row>
    <x:row r="166" ht="42" customHeight="1">
      <x:c r="A166" s="21" t="n">
        <x:v>2</x:v>
      </x:c>
      <x:c r="B166" s="14" t="str">
        <x:v>Stain</x:v>
      </x:c>
      <x:c r="C166" s="23" t="str">
        <x:f>D166&amp;"/"&amp;E166</x:f>
        <x:v>1/1</x:v>
      </x:c>
      <x:c r="D166" s="21" t="n">
        <x:v>1</x:v>
      </x:c>
      <x:c r="E166" s="21" t="n">
        <x:v>1</x:v>
      </x:c>
      <x:c r="F166" s="23" t="str">
        <x:v>Epic</x:v>
      </x:c>
      <x:c r="G166" s="23" t="str">
        <x:v>Magic</x:v>
      </x:c>
      <x:c r="H166" s="23" t="str">
        <x:v>Evil</x:v>
      </x:c>
      <x:c r="I166" s="13" t="str">
        <x:v>Battlecry: Destroy a damaged minion</x:v>
      </x:c>
      <x:c r="J166" s="13" t="str">
        <x:v>No heroes</x:v>
      </x:c>
      <x:c r="K166" s="13" t="str">
        <x:v>MHA</x:v>
      </x:c>
      <x:c r="L166" s="12" t="str">
        <x:v>c152</x:v>
      </x:c>
    </x:row>
    <x:row r="167" ht="44" customHeight="1">
      <x:c r="A167" s="22" t="n">
        <x:v>2</x:v>
      </x:c>
      <x:c r="B167" s="19" t="str">
        <x:v>Survivors</x:v>
      </x:c>
      <x:c r="C167" s="24" t="str">
        <x:f>D167&amp;"/"&amp;E167</x:f>
        <x:v>2/2</x:v>
      </x:c>
      <x:c r="D167" s="22" t="n">
        <x:v>2</x:v>
      </x:c>
      <x:c r="E167" s="22" t="n">
        <x:v>2</x:v>
      </x:c>
      <x:c r="F167" s="24" t="str">
        <x:v>Mythic</x:v>
      </x:c>
      <x:c r="G167" s="24" t="str">
        <x:v>Nature</x:v>
      </x:c>
      <x:c r="H167" s="24" t="str">
        <x:v>Good</x:v>
      </x:c>
      <x:c r="I167" s="18" t="str">
        <x:v>Divine Shield</x:v>
      </x:c>
      <x:c r="J167" s="18" t="str">
        <x:v>They weren't the strongest or the fastest. They were the ones who didn't stop</x:v>
      </x:c>
      <x:c r="K167" s="18" t="str">
        <x:v>L4d2</x:v>
      </x:c>
      <x:c r="L167" s="17" t="str">
        <x:v>c143</x:v>
      </x:c>
    </x:row>
    <x:row r="168" ht="42" customHeight="1">
      <x:c r="A168" s="21" t="n">
        <x:v>1</x:v>
      </x:c>
      <x:c r="B168" s="14" t="str">
        <x:v>An Order of Heavy Knights</x:v>
      </x:c>
      <x:c r="C168" s="23" t="str">
        <x:f>D168&amp;"/"&amp;E168</x:f>
        <x:v>1/1</x:v>
      </x:c>
      <x:c r="D168" s="21" t="n">
        <x:v>1</x:v>
      </x:c>
      <x:c r="E168" s="21" t="n">
        <x:v>1</x:v>
      </x:c>
      <x:c r="F168" s="23" t="str">
        <x:v>Rare</x:v>
      </x:c>
      <x:c r="G168" s="23" t="str">
        <x:v>Nature</x:v>
      </x:c>
      <x:c r="H168" s="23" t="str">
        <x:v>Neutral</x:v>
      </x:c>
      <x:c r="I168" s="13" t="str">
        <x:v>Passive: While you control a Taunt minion, this has +1/+1</x:v>
      </x:c>
      <x:c r="J168" s="13" t="str">
        <x:v>Honor. Duty</x:v>
      </x:c>
      <x:c r="K168" s="13" t="str">
        <x:v>Basic</x:v>
      </x:c>
      <x:c r="L168" s="12" t="str">
        <x:v>c169</x:v>
      </x:c>
    </x:row>
    <x:row r="169" ht="42" customHeight="1">
      <x:c r="A169" s="22" t="n">
        <x:v>1</x:v>
      </x:c>
      <x:c r="B169" s="19" t="str">
        <x:v>Davy Jones</x:v>
      </x:c>
      <x:c r="C169" s="24" t="str">
        <x:f>D169&amp;"/"&amp;E169</x:f>
        <x:v>1/1</x:v>
      </x:c>
      <x:c r="D169" s="22" t="n">
        <x:v>1</x:v>
      </x:c>
      <x:c r="E169" s="22" t="n">
        <x:v>1</x:v>
      </x:c>
      <x:c r="F169" s="24" t="str">
        <x:v>Rare</x:v>
      </x:c>
      <x:c r="G169" s="24" t="str">
        <x:v>Magic</x:v>
      </x:c>
      <x:c r="H169" s="24" t="str">
        <x:v>Evil</x:v>
      </x:c>
      <x:c r="I169" s="18" t="str">
        <x:v>Battlecry: Steal an Ascension Relic in your opponent's hand</x:v>
      </x:c>
      <x:c r="J169" s="18" t="str">
        <x:v>Captain of the drowned</x:v>
      </x:c>
      <x:c r="K169" s="18" t="str">
        <x:v>Pirates of the Caribbean</x:v>
      </x:c>
      <x:c r="L169" s="17" t="str">
        <x:v>c170</x:v>
      </x:c>
    </x:row>
    <x:row r="170" ht="42" customHeight="1">
      <x:c r="A170" s="21" t="n">
        <x:v>1</x:v>
      </x:c>
      <x:c r="B170" s="14" t="str">
        <x:v>Detective L</x:v>
      </x:c>
      <x:c r="C170" s="23" t="str">
        <x:f>D170&amp;"/"&amp;E170</x:f>
        <x:v>1/4</x:v>
      </x:c>
      <x:c r="D170" s="21" t="n">
        <x:v>1</x:v>
      </x:c>
      <x:c r="E170" s="21" t="n">
        <x:v>4</x:v>
      </x:c>
      <x:c r="F170" s="23" t="str">
        <x:v>Legendary</x:v>
      </x:c>
      <x:c r="G170" s="23" t="str">
        <x:v>Nature</x:v>
      </x:c>
      <x:c r="H170" s="23" t="str">
        <x:v>Good</x:v>
      </x:c>
      <x:c r="I170" s="13" t="str">
        <x:v>Passive: Your draw now shows 2 cards, pick one</x:v>
      </x:c>
      <x:c r="J170" s="13" t="str">
        <x:v>Justice works in probabilities.</x:v>
      </x:c>
      <x:c r="K170" s="13" t="str">
        <x:v>Death Note</x:v>
      </x:c>
      <x:c r="L170" s="12" t="str">
        <x:v>c003</x:v>
      </x:c>
    </x:row>
    <x:row r="171" ht="42" customHeight="1">
      <x:c r="A171" s="22" t="n">
        <x:v>1</x:v>
      </x:c>
      <x:c r="B171" s="19" t="str">
        <x:v>Domovoy</x:v>
      </x:c>
      <x:c r="C171" s="24" t="str">
        <x:f>D171&amp;"/"&amp;E171</x:f>
        <x:v>1/1</x:v>
      </x:c>
      <x:c r="D171" s="22" t="n">
        <x:v>1</x:v>
      </x:c>
      <x:c r="E171" s="22" t="n">
        <x:v>1</x:v>
      </x:c>
      <x:c r="F171" s="24" t="str">
        <x:v>Legendary</x:v>
      </x:c>
      <x:c r="G171" s="24" t="str">
        <x:v>Magic</x:v>
      </x:c>
      <x:c r="H171" s="24" t="str">
        <x:v>Good</x:v>
      </x:c>
      <x:c r="I171" s="18" t="str">
        <x:v>Battlecry: Draw an Ascension Relic</x:v>
      </x:c>
      <x:c r="J171" s="18" t="str">
        <x:v>The house spirit</x:v>
      </x:c>
      <x:c r="K171" s="18" t="str">
        <x:v>Myth</x:v>
      </x:c>
      <x:c r="L171" s="17" t="str">
        <x:v>c160</x:v>
      </x:c>
    </x:row>
    <x:row r="172" ht="42" customHeight="1">
      <x:c r="A172" s="21" t="n">
        <x:v>1</x:v>
      </x:c>
      <x:c r="B172" s="14" t="str">
        <x:v>Goblins</x:v>
      </x:c>
      <x:c r="C172" s="23" t="str">
        <x:f>D172&amp;"/"&amp;E172</x:f>
        <x:v>2/1</x:v>
      </x:c>
      <x:c r="D172" s="21" t="n">
        <x:v>2</x:v>
      </x:c>
      <x:c r="E172" s="21" t="n">
        <x:v>1</x:v>
      </x:c>
      <x:c r="F172" s="23" t="str">
        <x:v>Rare</x:v>
      </x:c>
      <x:c r="G172" s="23" t="str">
        <x:v>Nature</x:v>
      </x:c>
      <x:c r="H172" s="23" t="str">
        <x:v>Evil</x:v>
      </x:c>
      <x:c r="I172" s="13" t="str">
        <x:v>Deathrattle: Deal 1 damage to a random enemy minion</x:v>
      </x:c>
      <x:c r="J172" s="13" t="str">
        <x:v>Many, loud, briefly in the way.</x:v>
      </x:c>
      <x:c r="K172" s="13" t="str">
        <x:v>Myth</x:v>
      </x:c>
      <x:c r="L172" s="12" t="str">
        <x:v>c171</x:v>
      </x:c>
    </x:row>
    <x:row r="173" ht="42" customHeight="1">
      <x:c r="A173" s="22" t="n">
        <x:v>1</x:v>
      </x:c>
      <x:c r="B173" s="19" t="str">
        <x:v>Indiana Jones</x:v>
      </x:c>
      <x:c r="C173" s="24" t="str">
        <x:f>D173&amp;"/"&amp;E173</x:f>
        <x:v>1/1</x:v>
      </x:c>
      <x:c r="D173" s="22" t="n">
        <x:v>1</x:v>
      </x:c>
      <x:c r="E173" s="22" t="n">
        <x:v>1</x:v>
      </x:c>
      <x:c r="F173" s="24" t="str">
        <x:v>Mythic</x:v>
      </x:c>
      <x:c r="G173" s="24" t="str">
        <x:v>Nature</x:v>
      </x:c>
      <x:c r="H173" s="24" t="str">
        <x:v>Good</x:v>
      </x:c>
      <x:c r="I173" s="18" t="str">
        <x:v>Battlecry: Discover 1 of 3 Ascension Relics. Add it to your hand</x:v>
      </x:c>
      <x:c r="J173" s="18" t="str">
        <x:v>Mine</x:v>
      </x:c>
      <x:c r="K173" s="18" t="str">
        <x:v>Indiana Jones</x:v>
      </x:c>
      <x:c r="L173" s="17" t="str">
        <x:v>c159</x:v>
      </x:c>
    </x:row>
    <x:row r="174" ht="42" customHeight="1">
      <x:c r="A174" s="21" t="n">
        <x:v>1</x:v>
      </x:c>
      <x:c r="B174" s="14" t="str">
        <x:v>John Wick</x:v>
      </x:c>
      <x:c r="C174" s="23" t="str">
        <x:f>D174&amp;"/"&amp;E174</x:f>
        <x:v>1/1</x:v>
      </x:c>
      <x:c r="D174" s="21" t="n">
        <x:v>1</x:v>
      </x:c>
      <x:c r="E174" s="21" t="n">
        <x:v>1</x:v>
      </x:c>
      <x:c r="F174" s="23" t="str">
        <x:v>Rare</x:v>
      </x:c>
      <x:c r="G174" s="23" t="str">
        <x:v>Nature</x:v>
      </x:c>
      <x:c r="H174" s="23" t="str">
        <x:v>Neutral</x:v>
      </x:c>
      <x:c r="I174" s="13" t="str">
        <x:v>Passive: Whenever a friendly minion dies, gain +1/+1</x:v>
      </x:c>
      <x:c r="J174" s="13" t="str">
        <x:v>A dog was all he had left.</x:v>
      </x:c>
      <x:c r="K174" s="13" t="str">
        <x:v>John Wick</x:v>
      </x:c>
      <x:c r="L174" s="12" t="str">
        <x:v>c001</x:v>
      </x:c>
    </x:row>
    <x:row r="175" ht="42" customHeight="1">
      <x:c r="A175" s="22" t="n">
        <x:v>1</x:v>
      </x:c>
      <x:c r="B175" s="19" t="str">
        <x:v>Joker</x:v>
      </x:c>
      <x:c r="C175" s="24" t="str">
        <x:f>D175&amp;"/"&amp;E175</x:f>
        <x:v>1/1</x:v>
      </x:c>
      <x:c r="D175" s="22" t="n">
        <x:v>1</x:v>
      </x:c>
      <x:c r="E175" s="22" t="n">
        <x:v>1</x:v>
      </x:c>
      <x:c r="F175" s="24" t="str">
        <x:v>Mythic</x:v>
      </x:c>
      <x:c r="G175" s="24" t="str">
        <x:v>Nature</x:v>
      </x:c>
      <x:c r="H175" s="24" t="str">
        <x:v>Evil</x:v>
      </x:c>
      <x:c r="I175" s="18" t="str">
        <x:v>Battlecry: Put a copy of a minion in your hand</x:v>
      </x:c>
      <x:c r="J175" s="18" t="str">
        <x:v>The punchline was already loaded.</x:v>
      </x:c>
      <x:c r="K175" s="18" t="str">
        <x:v>DCEU</x:v>
      </x:c>
      <x:c r="L175" s="17" t="str">
        <x:v>c002</x:v>
      </x:c>
    </x:row>
    <x:row r="176" ht="44" customHeight="1">
      <x:c r="A176" s="21" t="n">
        <x:v>1</x:v>
      </x:c>
      <x:c r="B176" s="14" t="str">
        <x:v>Kagaya Ubuyashiki</x:v>
      </x:c>
      <x:c r="C176" s="23" t="str">
        <x:f>D176&amp;"/"&amp;E176</x:f>
        <x:v>1/1</x:v>
      </x:c>
      <x:c r="D176" s="21" t="n">
        <x:v>1</x:v>
      </x:c>
      <x:c r="E176" s="21" t="n">
        <x:v>1</x:v>
      </x:c>
      <x:c r="F176" s="23" t="str">
        <x:v>Legendary</x:v>
      </x:c>
      <x:c r="G176" s="23" t="str">
        <x:v>Nature</x:v>
      </x:c>
      <x:c r="H176" s="23" t="str">
        <x:v>Good</x:v>
      </x:c>
      <x:c r="I176" s="13" t="str">
        <x:v>Battlecry: Discover a random Taunt, Divine Shield, and Passive minion in the deck. Draw one</x:v>
      </x:c>
      <x:c r="J176" s="13" t="str">
        <x:v>Leadership</x:v>
      </x:c>
      <x:c r="K176" s="13" t="str">
        <x:v>Demon Slayer</x:v>
      </x:c>
      <x:c r="L176" s="12" t="str">
        <x:v>c162</x:v>
      </x:c>
    </x:row>
    <x:row r="177" ht="42" customHeight="1">
      <x:c r="A177" s="22" t="n">
        <x:v>1</x:v>
      </x:c>
      <x:c r="B177" s="19" t="str">
        <x:v>King</x:v>
      </x:c>
      <x:c r="C177" s="24" t="str">
        <x:f>D177&amp;"/"&amp;E177</x:f>
        <x:v>0/5</x:v>
      </x:c>
      <x:c r="D177" s="22" t="n">
        <x:v>0</x:v>
      </x:c>
      <x:c r="E177" s="22" t="n">
        <x:v>5</x:v>
      </x:c>
      <x:c r="F177" s="24" t="str">
        <x:v>Rare</x:v>
      </x:c>
      <x:c r="G177" s="24" t="str">
        <x:v>Nature</x:v>
      </x:c>
      <x:c r="H177" s="24" t="str">
        <x:v>Neutral</x:v>
      </x:c>
      <x:c r="I177" s="18" t="str">
        <x:v>Taunt</x:v>
      </x:c>
      <x:c r="J177" s="18" t="str">
        <x:v>Luckiest man alive</x:v>
      </x:c>
      <x:c r="K177" s="18" t="str">
        <x:v>OPM</x:v>
      </x:c>
      <x:c r="L177" s="17" t="str">
        <x:v>c077</x:v>
      </x:c>
    </x:row>
    <x:row r="178" ht="42" customHeight="1">
      <x:c r="A178" s="21" t="n">
        <x:v>1</x:v>
      </x:c>
      <x:c r="B178" s="14" t="str">
        <x:v>Mr. Poopybutthole</x:v>
      </x:c>
      <x:c r="C178" s="23" t="str">
        <x:f>D178&amp;"/"&amp;E178</x:f>
        <x:v>1/1</x:v>
      </x:c>
      <x:c r="D178" s="21" t="n">
        <x:v>1</x:v>
      </x:c>
      <x:c r="E178" s="21" t="n">
        <x:v>1</x:v>
      </x:c>
      <x:c r="F178" s="23" t="str">
        <x:v>Rare</x:v>
      </x:c>
      <x:c r="G178" s="23" t="str">
        <x:v>Nature</x:v>
      </x:c>
      <x:c r="H178" s="23" t="str">
        <x:v>Neutral</x:v>
      </x:c>
      <x:c r="I178" s="13" t="str">
        <x:v>Reborn</x:v>
      </x:c>
      <x:c r="J178" s="13" t="str">
        <x:v>He was there the whole time</x:v>
      </x:c>
      <x:c r="K178" s="13" t="str">
        <x:v>Rick and Morty</x:v>
      </x:c>
      <x:c r="L178" s="12" t="str">
        <x:v>c172</x:v>
      </x:c>
    </x:row>
    <x:row r="179" ht="44" customHeight="1">
      <x:c r="A179" s="22" t="n">
        <x:v>1</x:v>
      </x:c>
      <x:c r="B179" s="19" t="str">
        <x:v>Mugen &amp; Jin</x:v>
      </x:c>
      <x:c r="C179" s="24" t="str">
        <x:f>D179&amp;"/"&amp;E179</x:f>
        <x:v>1/2</x:v>
      </x:c>
      <x:c r="D179" s="22" t="n">
        <x:v>1</x:v>
      </x:c>
      <x:c r="E179" s="22" t="n">
        <x:v>2</x:v>
      </x:c>
      <x:c r="F179" s="24" t="str">
        <x:v>Epic</x:v>
      </x:c>
      <x:c r="G179" s="24" t="str">
        <x:v>Nature</x:v>
      </x:c>
      <x:c r="H179" s="24" t="str">
        <x:v>Neutral</x:v>
      </x:c>
      <x:c r="I179" s="18" t="str">
        <x:v>Battlecry: Gain +1 ATK if you have another friendly minion on the board</x:v>
      </x:c>
      <x:c r="J179" s="18" t="str">
        <x:v>Two blades, one road, no agreement.</x:v>
      </x:c>
      <x:c r="K179" s="18" t="str">
        <x:v>Samurai Champloo</x:v>
      </x:c>
      <x:c r="L179" s="17" t="str">
        <x:v>c165</x:v>
      </x:c>
    </x:row>
    <x:row r="180" ht="42" customHeight="1">
      <x:c r="A180" s="21" t="n">
        <x:v>1</x:v>
      </x:c>
      <x:c r="B180" s="14" t="str">
        <x:v>Nezu</x:v>
      </x:c>
      <x:c r="C180" s="23" t="str">
        <x:f>D180&amp;"/"&amp;E180</x:f>
        <x:v>1/1</x:v>
      </x:c>
      <x:c r="D180" s="21" t="n">
        <x:v>1</x:v>
      </x:c>
      <x:c r="E180" s="21" t="n">
        <x:v>1</x:v>
      </x:c>
      <x:c r="F180" s="23" t="str">
        <x:v>Rare</x:v>
      </x:c>
      <x:c r="G180" s="23" t="str">
        <x:v>Nature</x:v>
      </x:c>
      <x:c r="H180" s="23" t="str">
        <x:v>Good</x:v>
      </x:c>
      <x:c r="I180" s="13" t="str">
        <x:v>Battlecry: Draw 1 card</x:v>
      </x:c>
      <x:c r="J180" s="13" t="str">
        <x:v>The smartest thing here is a mouse.</x:v>
      </x:c>
      <x:c r="K180" s="13" t="str">
        <x:v>MHA</x:v>
      </x:c>
      <x:c r="L180" s="12" t="str">
        <x:v>c173</x:v>
      </x:c>
    </x:row>
    <x:row r="181" ht="44" customHeight="1">
      <x:c r="A181" s="22" t="n">
        <x:v>1</x:v>
      </x:c>
      <x:c r="B181" s="19" t="str">
        <x:v>Shibukawa</x:v>
      </x:c>
      <x:c r="C181" s="24" t="str">
        <x:f>D181&amp;"/"&amp;E181</x:f>
        <x:v>1/1</x:v>
      </x:c>
      <x:c r="D181" s="22" t="n">
        <x:v>1</x:v>
      </x:c>
      <x:c r="E181" s="22" t="n">
        <x:v>1</x:v>
      </x:c>
      <x:c r="F181" s="24" t="str">
        <x:v>Rare</x:v>
      </x:c>
      <x:c r="G181" s="24" t="str">
        <x:v>Nature</x:v>
      </x:c>
      <x:c r="H181" s="24" t="str">
        <x:v>Neutral</x:v>
      </x:c>
      <x:c r="I181" s="18" t="str">
        <x:v>Divine Shield. Passive: Do 2x damage when defending against an attack</x:v>
      </x:c>
      <x:c r="J181" s="18" t="str">
        <x:v>Strength is the easiest thing to redirect.</x:v>
      </x:c>
      <x:c r="K181" s="18" t="str">
        <x:v>Baki</x:v>
      </x:c>
      <x:c r="L181" s="17" t="str">
        <x:v>c174</x:v>
      </x:c>
    </x:row>
    <x:row r="182" ht="42" customHeight="1">
      <x:c r="A182" s="21" t="n">
        <x:v>1</x:v>
      </x:c>
      <x:c r="B182" s="14" t="str">
        <x:v>Sir Nighteye</x:v>
      </x:c>
      <x:c r="C182" s="23" t="str">
        <x:f>D182&amp;"/"&amp;E182</x:f>
        <x:v>1/1</x:v>
      </x:c>
      <x:c r="D182" s="21" t="n">
        <x:v>1</x:v>
      </x:c>
      <x:c r="E182" s="21" t="n">
        <x:v>1</x:v>
      </x:c>
      <x:c r="F182" s="23" t="str">
        <x:v>Epic</x:v>
      </x:c>
      <x:c r="G182" s="23" t="str">
        <x:v>Magic</x:v>
      </x:c>
      <x:c r="H182" s="23" t="str">
        <x:v>Good</x:v>
      </x:c>
      <x:c r="I182" s="13" t="str">
        <x:v>Passive: See the card on top of the deck</x:v>
      </x:c>
      <x:c r="J182" s="13" t="str">
        <x:v>He has already watched this end.</x:v>
      </x:c>
      <x:c r="K182" s="13" t="str">
        <x:v>MHA</x:v>
      </x:c>
      <x:c r="L182" s="12" t="str">
        <x:v>c166</x:v>
      </x:c>
    </x:row>
    <x:row r="183" ht="44" customHeight="1">
      <x:c r="A183" s="22" t="n">
        <x:v>1</x:v>
      </x:c>
      <x:c r="B183" s="19" t="str">
        <x:v>V</x:v>
      </x:c>
      <x:c r="C183" s="24" t="str">
        <x:f>D183&amp;"/"&amp;E183</x:f>
        <x:v>1/1</x:v>
      </x:c>
      <x:c r="D183" s="22" t="n">
        <x:v>1</x:v>
      </x:c>
      <x:c r="E183" s="22" t="n">
        <x:v>1</x:v>
      </x:c>
      <x:c r="F183" s="24" t="str">
        <x:v>Rare</x:v>
      </x:c>
      <x:c r="G183" s="24" t="str">
        <x:v>Nature</x:v>
      </x:c>
      <x:c r="H183" s="24" t="str">
        <x:v>Neutral</x:v>
      </x:c>
      <x:c r="I183" s="18" t="str">
        <x:v>Deathrattle: Destroy a random Evil minion, no matter friendly or not, and deal 4 damage to your own Core</x:v>
      </x:c>
      <x:c r="J183" s="18" t="str">
        <x:v>V for Vendetta</x:v>
      </x:c>
      <x:c r="K183" s="18" t="str">
        <x:v>V for Vendetta</x:v>
      </x:c>
      <x:c r="L183" s="17" t="str">
        <x:v>c175</x:v>
      </x:c>
    </x:row>
    <x:row r="184" ht="42" customHeight="1">
      <x:c r="A184" s="21" t="n">
        <x:v>1</x:v>
      </x:c>
      <x:c r="B184" s="14" t="str">
        <x:v>Vegapunk</x:v>
      </x:c>
      <x:c r="C184" s="23" t="str">
        <x:f>D184&amp;"/"&amp;E184</x:f>
        <x:v>1/1</x:v>
      </x:c>
      <x:c r="D184" s="21" t="n">
        <x:v>1</x:v>
      </x:c>
      <x:c r="E184" s="21" t="n">
        <x:v>1</x:v>
      </x:c>
      <x:c r="F184" s="23" t="str">
        <x:v>Epic</x:v>
      </x:c>
      <x:c r="G184" s="23" t="str">
        <x:v>Tech</x:v>
      </x:c>
      <x:c r="H184" s="23" t="str">
        <x:v>Neutral</x:v>
      </x:c>
      <x:c r="I184" s="13" t="str">
        <x:v>Battlecry: Discover 3 Tech cards in the deck, choose and draw one</x:v>
      </x:c>
      <x:c r="J184" s="13" t="str">
        <x:v>His brain never stopped growing</x:v>
      </x:c>
      <x:c r="K184" s="13" t="str">
        <x:v>One Piece</x:v>
      </x:c>
      <x:c r="L184" s="12" t="str">
        <x:v>c167</x:v>
      </x:c>
    </x:row>
    <x:row r="185" ht="44" customHeight="1">
      <x:c r="A185" s="22" t="n">
        <x:v>1</x:v>
      </x:c>
      <x:c r="B185" s="19" t="str">
        <x:v>Walter White</x:v>
      </x:c>
      <x:c r="C185" s="24" t="str">
        <x:f>D185&amp;"/"&amp;E185</x:f>
        <x:v>1/1</x:v>
      </x:c>
      <x:c r="D185" s="22" t="n">
        <x:v>1</x:v>
      </x:c>
      <x:c r="E185" s="22" t="n">
        <x:v>1</x:v>
      </x:c>
      <x:c r="F185" s="24" t="str">
        <x:v>Epic</x:v>
      </x:c>
      <x:c r="G185" s="24" t="str">
        <x:v>Tech</x:v>
      </x:c>
      <x:c r="H185" s="24" t="str">
        <x:v>Neutral</x:v>
      </x:c>
      <x:c r="I185" s="18" t="str">
        <x:v>Battlecry: Choose another friendly Neutral minion. Double its ATK, but set its HP to 1</x:v>
      </x:c>
      <x:c r="J185" s="18" t="str">
        <x:v>Say. My. Name</x:v>
      </x:c>
      <x:c r="K185" s="18" t="str">
        <x:v>Breaking Bad</x:v>
      </x:c>
      <x:c r="L185" s="17" t="str">
        <x:v>c168</x:v>
      </x:c>
    </x:row>
  </x:sheetData>
  <x:conditionalFormatting sqref="F2:F185">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5">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5">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cac9b921c0ff4c37"/>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7b35a0324bad4c1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75 health. Reduce the opposing core to zero to win.</x:v>
      </x:c>
    </x:row>
    <x:row r="4" ht="67" customHeight="1">
      <x:c r="A4" s="9" t="str">
        <x:v>Each player draws from their own shuffled thirty-card deck and opens with 3 cards. In solo and campaign play, Player One may replace any number once during the mulligan. In hotseat, both players may replace cards once, privately and in order. The second player also receives The Coin.</x:v>
      </x:c>
    </x:row>
    <x:row r="5" ht="84" customHeight="1">
      <x:c r="A5" s="9" t="str">
        <x:v>Hero Powers are selected inside My Deck, above the current deck list. Each first clear of the first ten universes unlocks the next player power permanently, in the order shown in that menu. Collection bosses use fixed powers. Free-play opponents receive one random player power from all ten. A selected Hero Power costs 2 mana and can be used once during its controller's turn.</x:v>
      </x:c>
    </x:row>
    <x:row r="6" ht="34" customHeight="1">
      <x:c r="A6" s="9" t="str">
        <x:v>At the start of a turn, draw one card. Mana starts at 1, refills each turn, and increases by one each turn up to 10.</x:v>
      </x:c>
    </x:row>
    <x:row r="7" ht="34" customHeight="1">
      <x:c r="A7" s="9" t="str">
        <x:v>Your hand holds at most 10 cards. A card drawn into a full hand burns and is discarded.</x:v>
      </x:c>
    </x:row>
    <x:row r="8" ht="34" customHeight="1">
      <x:c r="A8" s="9" t="str">
        <x:v>Play a hand card into one of five board slots by paying its cost. Effects that summon minions also need an open slot.</x:v>
      </x:c>
    </x:row>
    <x:row r="9" ht="50" customHeight="1">
      <x:c r="A9" s="9" t="str">
        <x:v>A minion is asleep for the turn it enters play and normally waits until its owner's next turn before attacking. A Chained minion is unavailable for its first two owner turns and cannot be targeted by attacks or effects while chained.</x:v>
      </x:c>
    </x:row>
    <x:row r="10" ht="34" customHeight="1">
      <x:c r="A10" s="9" t="str">
        <x:v>A minion can attack once per turn. A minion with 0 ATK can still attack, but deals no damage.</x:v>
      </x:c>
    </x:row>
    <x:row r="11" ht="34" customHeight="1">
      <x:c r="A11" s="9" t="str">
        <x:v>Combat is simultaneous: attacker and defender deal damage to each other, even when the attack kills the defender.</x:v>
      </x:c>
    </x:row>
    <x:row r="12" ht="50" customHeight="1">
      <x:c r="A12" s="9" t="str">
        <x:v>Taunt must be dealt with before attacks can reach the opposing core, unless an effect or relic explicitly bypasses that defence.</x:v>
      </x:c>
    </x:row>
    <x:row r="13" ht="50" customHeight="1">
      <x:c r="A13" s="9" t="str">
        <x:v>Silence strips printed text, keywords, and stat buffs at once. A minion pumped above its printed stats falls back to them; a minion pushed below them stays there. A silenced minion's Divine Shield blocks nothing while the silence holds.</x:v>
      </x:c>
    </x:row>
    <x:row r="14" ht="50" customHeight="1">
      <x:c r="A14" s="9" t="str">
        <x:v>When a player's own deck and bottom-deck cards are empty, drawing causes escalating fatigue damage: 1, then 2, then 3, and so on.</x:v>
      </x:c>
    </x:row>
    <x:row r="15" ht="50" customHeight="1">
      <x:c r="A15" s="9" t="str">
        <x:v>Nothing damages a core automatically just because a turn starts; core damage comes from a minion attacking it or from an effect that explicitly says it damages a core.</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COUNTIF(Cards!F2:F185,A2)</x:f>
        <x:v>19</x:v>
      </x:c>
      <x:c r="C2" s="2"/>
      <x:c r="D2" s="8" t="n">
        <x:v>10</x:v>
      </x:c>
      <x:c r="E2" s="8" t="n">
        <x:f>COUNTIF(Cards!A2:A185,D2)+COUNTIF(Relics!A2:A35,D2)</x:f>
        <x:v>10</x:v>
      </x:c>
    </x:row>
    <x:row r="3" ht="28" customHeight="1">
      <x:c r="A3" s="2" t="str">
        <x:v>Legendary</x:v>
      </x:c>
      <x:c r="B3" s="8" t="n">
        <x:f>COUNTIF(Cards!F2:F185,A3)</x:f>
        <x:v>44</x:v>
      </x:c>
      <x:c r="C3" s="2"/>
      <x:c r="D3" s="8" t="n">
        <x:v>9</x:v>
      </x:c>
      <x:c r="E3" s="8" t="n">
        <x:f>COUNTIF(Cards!A2:A185,D3)+COUNTIF(Relics!A2:A35,D3)</x:f>
        <x:v>12</x:v>
      </x:c>
    </x:row>
    <x:row r="4" ht="28" customHeight="1">
      <x:c r="A4" s="2" t="str">
        <x:v>Epic</x:v>
      </x:c>
      <x:c r="B4" s="8" t="n">
        <x:f>COUNTIF(Cards!F2:F185,A4)</x:f>
        <x:v>60</x:v>
      </x:c>
      <x:c r="C4" s="2"/>
      <x:c r="D4" s="8" t="n">
        <x:v>8</x:v>
      </x:c>
      <x:c r="E4" s="8" t="n">
        <x:f>COUNTIF(Cards!A2:A185,D4)+COUNTIF(Relics!A2:A35,D4)</x:f>
        <x:v>17</x:v>
      </x:c>
    </x:row>
    <x:row r="5" ht="28" customHeight="1">
      <x:c r="A5" s="2" t="str">
        <x:v>Rare</x:v>
      </x:c>
      <x:c r="B5" s="8" t="n">
        <x:f>COUNTIF(Cards!F2:F185,A5)</x:f>
        <x:v>61</x:v>
      </x:c>
      <x:c r="C5" s="2"/>
      <x:c r="D5" s="8" t="n">
        <x:v>7</x:v>
      </x:c>
      <x:c r="E5" s="8" t="n">
        <x:f>COUNTIF(Cards!A2:A185,D5)+COUNTIF(Relics!A2:A35,D5)</x:f>
        <x:v>20</x:v>
      </x:c>
    </x:row>
    <x:row r="6" ht="28" customHeight="1">
      <x:c r="A6" s="2" t="str">
        <x:v>Total cards</x:v>
      </x:c>
      <x:c r="B6" s="8" t="n">
        <x:f>SUM(B2:B5)</x:f>
        <x:v>184</x:v>
      </x:c>
      <x:c r="C6" s="2"/>
      <x:c r="D6" s="8" t="n">
        <x:v>6</x:v>
      </x:c>
      <x:c r="E6" s="8" t="n">
        <x:f>COUNTIF(Cards!A2:A185,D6)+COUNTIF(Relics!A2:A35,D6)</x:f>
        <x:v>18</x:v>
      </x:c>
    </x:row>
    <x:row r="7" ht="28" customHeight="1">
      <x:c r="A7" s="2"/>
      <x:c r="B7" s="8"/>
      <x:c r="C7" s="2"/>
      <x:c r="D7" s="8" t="n">
        <x:v>5</x:v>
      </x:c>
      <x:c r="E7" s="8" t="n">
        <x:f>COUNTIF(Cards!A2:A185,D7)+COUNTIF(Relics!A2:A35,D7)</x:f>
        <x:v>22</x:v>
      </x:c>
    </x:row>
    <x:row r="8" ht="28" customHeight="1">
      <x:c r="A8" s="7" t="str">
        <x:v>By Camp</x:v>
      </x:c>
      <x:c r="B8" s="8"/>
      <x:c r="C8" s="2"/>
      <x:c r="D8" s="8" t="n">
        <x:v>4</x:v>
      </x:c>
      <x:c r="E8" s="8" t="n">
        <x:f>COUNTIF(Cards!A2:A185,D8)+COUNTIF(Relics!A2:A35,D8)</x:f>
        <x:v>39</x:v>
      </x:c>
    </x:row>
    <x:row r="9" ht="28" customHeight="1">
      <x:c r="A9" s="2" t="str">
        <x:v>Magic</x:v>
      </x:c>
      <x:c r="B9" s="8" t="n">
        <x:f>COUNTIF(Cards!G2:G185,A9)</x:f>
        <x:v>89</x:v>
      </x:c>
      <x:c r="C9" s="2"/>
      <x:c r="D9" s="8" t="n">
        <x:v>3</x:v>
      </x:c>
      <x:c r="E9" s="8" t="n">
        <x:f>COUNTIF(Cards!A2:A185,D9)+COUNTIF(Relics!A2:A35,D9)</x:f>
        <x:v>29</x:v>
      </x:c>
    </x:row>
    <x:row r="10" ht="28" customHeight="1">
      <x:c r="A10" s="2" t="str">
        <x:v>Tech</x:v>
      </x:c>
      <x:c r="B10" s="8" t="n">
        <x:f>COUNTIF(Cards!G2:G185,A10)</x:f>
        <x:v>36</x:v>
      </x:c>
      <x:c r="C10" s="2"/>
      <x:c r="D10" s="8" t="n">
        <x:v>2</x:v>
      </x:c>
      <x:c r="E10" s="8" t="n">
        <x:f>COUNTIF(Cards!A2:A185,D10)+COUNTIF(Relics!A2:A35,D10)</x:f>
        <x:v>23</x:v>
      </x:c>
    </x:row>
    <x:row r="11" ht="28" customHeight="1">
      <x:c r="A11" s="2" t="str">
        <x:v>Nature</x:v>
      </x:c>
      <x:c r="B11" s="8" t="n">
        <x:f>COUNTIF(Cards!G2:G185,A11)</x:f>
        <x:v>57</x:v>
      </x:c>
      <x:c r="C11" s="2"/>
      <x:c r="D11" s="8" t="n">
        <x:v>1</x:v>
      </x:c>
      <x:c r="E11" s="8" t="n">
        <x:f>COUNTIF(Cards!A2:A185,D11)+COUNTIF(Relics!A2:A35,D11)</x:f>
        <x:v>28</x:v>
      </x:c>
    </x:row>
    <x:row r="12" ht="28" customHeight="1">
      <x:c r="A12" s="2" t="str">
        <x:v>ALL</x:v>
      </x:c>
      <x:c r="B12" s="8" t="n">
        <x:f>COUNTIF(Cards!G2:G185,A12)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COUNTIF(Cards!H2:H185,D14)</x:f>
        <x:v>56</x:v>
      </x:c>
    </x:row>
    <x:row r="15" ht="28" customHeight="1">
      <x:c r="A15" s="7" t="str">
        <x:v>Roster</x:v>
      </x:c>
      <x:c r="B15" s="8"/>
      <x:c r="C15" s="2"/>
      <x:c r="D15" s="2" t="str">
        <x:v>Neutral</x:v>
      </x:c>
      <x:c r="E15" s="8" t="n">
        <x:f>COUNTIF(Cards!H2:H185,D15)</x:f>
        <x:v>68</x:v>
      </x:c>
    </x:row>
    <x:row r="16" ht="28" customHeight="1">
      <x:c r="A16" s="2" t="str">
        <x:v>Cards</x:v>
      </x:c>
      <x:c r="B16" s="8" t="n">
        <x:f>COUNTA(Cards!L2:L185)</x:f>
        <x:v>184</x:v>
      </x:c>
      <x:c r="C16" s="2"/>
      <x:c r="D16" s="2" t="str">
        <x:v>Evil</x:v>
      </x:c>
      <x:c r="E16" s="8" t="n">
        <x:f>COUNTIF(Cards!H2:H185,D16)</x:f>
        <x:v>60</x:v>
      </x:c>
    </x:row>
    <x:row r="17" ht="28" customHeight="1">
      <x:c r="A17" s="2" t="str">
        <x:v>Relics</x:v>
      </x:c>
      <x:c r="B17" s="8" t="n">
        <x:f>COUNTA(Relics!F2:F35)</x:f>
        <x:v>34</x:v>
      </x:c>
      <x:c r="C17" s="2"/>
      <x:c r="D17" s="2"/>
      <x:c r="E17" s="8"/>
    </x:row>
    <x:row r="18" ht="28" customHeight="1">
      <x:c r="A18" s="2" t="str">
        <x:v>All collectible cards</x:v>
      </x:c>
      <x:c r="B18" s="8" t="n">
        <x:f>SUM(B16:B17)</x:f>
        <x:v>218</x:v>
      </x:c>
      <x:c r="C18" s="2"/>
      <x:c r="D18" s="26" t="str">
        <x:v>Mana includes relics</x:v>
      </x:c>
      <x:c r="E18" s="8"/>
    </x:row>
  </x:sheetData>
  <x:pageMargins left="0.7" right="0.7" top="0.75" bottom="0.75" header="0.3" footer="0.3"/>
</x:worksheet>
</file>