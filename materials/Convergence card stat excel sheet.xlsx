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9dff4ec33343d5" /></Relationships>
</file>

<file path=xl/workbook.xml><?xml version="1.0" encoding="utf-8"?>
<x:workbook xmlns:x="http://schemas.openxmlformats.org/spreadsheetml/2006/main">
  <x:sheets>
    <x:sheet xmlns:r="http://schemas.openxmlformats.org/officeDocument/2006/relationships" name="Cards" sheetId="1" r:id="R71f6272aa2b244dd"/>
    <x:sheet xmlns:r="http://schemas.openxmlformats.org/officeDocument/2006/relationships" name="Relics" sheetId="2" r:id="Rf6faee656cbf442b"/>
    <x:sheet xmlns:r="http://schemas.openxmlformats.org/officeDocument/2006/relationships" name="Rules" sheetId="3" r:id="R2aa24c62f52b47ac"/>
    <x:sheet xmlns:r="http://schemas.openxmlformats.org/officeDocument/2006/relationships" name="Summary" sheetId="4" r:id="Rd0ab9970a1f64a14"/>
    <x:sheet xmlns:r="http://schemas.openxmlformats.org/officeDocument/2006/relationships" name="Lore Ranking" sheetId="5" r:id="R04b4955f7ac54480"/>
    <x:sheet xmlns:r="http://schemas.openxmlformats.org/officeDocument/2006/relationships" name="Lore Ranking Rules" sheetId="6" r:id="R3669a3c922b843e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095896b9354cc3" /><Relationship Type="http://schemas.openxmlformats.org/officeDocument/2006/relationships/theme" Target="/xl/theme/theme1.xml" Id="Ra8666b5f6d9c43c0" /><Relationship Type="http://schemas.openxmlformats.org/officeDocument/2006/relationships/sharedStrings" Target="/xl/sharedStrings.xml" Id="R037c573d36c04bc5" /><Relationship Type="http://schemas.openxmlformats.org/officeDocument/2006/relationships/worksheet" Target="/xl/worksheets/sheet1.xml" Id="R71f6272aa2b244dd" /><Relationship Type="http://schemas.openxmlformats.org/officeDocument/2006/relationships/worksheet" Target="/xl/worksheets/sheet2.xml" Id="Rf6faee656cbf442b" /><Relationship Type="http://schemas.openxmlformats.org/officeDocument/2006/relationships/worksheet" Target="/xl/worksheets/sheet3.xml" Id="R2aa24c62f52b47ac" /><Relationship Type="http://schemas.openxmlformats.org/officeDocument/2006/relationships/worksheet" Target="/xl/worksheets/sheet4.xml" Id="Rd0ab9970a1f64a14" /><Relationship Type="http://schemas.openxmlformats.org/officeDocument/2006/relationships/worksheet" Target="/xl/worksheets/sheet5.xml" Id="R04b4955f7ac54480" /><Relationship Type="http://schemas.openxmlformats.org/officeDocument/2006/relationships/worksheet" Target="/xl/worksheets/sheet6.xml" Id="R3669a3c922b843e2"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f6e755b6bc94c00" /></Relationships>
</file>

<file path=xl/worksheets/_rels/sheet2.xml.rels>&#65279;<?xml version="1.0" encoding="utf-8"?><Relationships xmlns="http://schemas.openxmlformats.org/package/2006/relationships"><Relationship Type="http://schemas.openxmlformats.org/officeDocument/2006/relationships/table" Target="/xl/tables/table2.xml" Id="R2a2f2ca122564361" /></Relationships>
</file>

<file path=xl/worksheets/_rels/sheet5.xml.rels>&#65279;<?xml version="1.0" encoding="utf-8"?><Relationships xmlns="http://schemas.openxmlformats.org/package/2006/relationships"><Relationship Type="http://schemas.openxmlformats.org/officeDocument/2006/relationships/table" Target="/xl/tables/table3.xml" Id="Rc904b592c92d4b99"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Epic</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Ascension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Legendary</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Legendary</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Epic</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Epic</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other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Epic</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Epic</x:v>
      </x:c>
      <x:c r="G153" s="24" t="str">
        <x:v>Tech</x:v>
      </x:c>
      <x:c r="H153" s="24" t="str">
        <x:v>Good</x:v>
      </x:c>
      <x:c r="I153" s="18" t="str">
        <x:v>Battlecry: Choose an enemy minion. Choose one gadget: Freeze it; Silence it; or give it -3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Epic</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4"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Ascension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Epic</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Epic</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Ascension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Legendary</x:v>
      </x:c>
      <x:c r="G170" s="23" t="str">
        <x:v>Magic</x:v>
      </x:c>
      <x:c r="H170" s="23" t="str">
        <x:v>Good</x:v>
      </x:c>
      <x:c r="I170" s="13" t="str">
        <x:v>Battlecry: Draw an Ascension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Ascension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df6e755b6bc94c00"/>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2a2f2ca12256436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32</x:v>
      </x:c>
      <x:c r="C3" s="2"/>
      <x:c r="D3" s="8" t="n">
        <x:v>9</x:v>
      </x:c>
      <x:c r="E3" s="8" t="n">
        <x:f>COUNTIF(Cards!A2:A184,D3)+COUNTIF(Relics!A2:A35,D3)</x:f>
        <x:v>12</x:v>
      </x:c>
    </x:row>
    <x:row r="4" ht="28" customHeight="1">
      <x:c r="A4" s="2" t="str">
        <x:v>Epic</x:v>
      </x:c>
      <x:c r="B4" s="8" t="n">
        <x:f>COUNTIF(Cards!F2:F184,A4)</x:f>
        <x:v>54</x:v>
      </x:c>
      <x:c r="C4" s="2"/>
      <x:c r="D4" s="8" t="n">
        <x:v>8</x:v>
      </x:c>
      <x:c r="E4" s="8" t="n">
        <x:f>COUNTIF(Cards!A2:A184,D4)+COUNTIF(Relics!A2:A35,D4)</x:f>
        <x:v>17</x:v>
      </x:c>
    </x:row>
    <x:row r="5" ht="28" customHeight="1">
      <x:c r="A5" s="2" t="str">
        <x:v>Rare</x:v>
      </x:c>
      <x:c r="B5" s="8" t="n">
        <x:f>COUNTIF(Cards!F2:F184,A5)</x:f>
        <x:v>72</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88</x:v>
      </x:c>
      <x:c r="C9" s="2"/>
      <x:c r="D9" s="8" t="n">
        <x:v>3</x:v>
      </x:c>
      <x:c r="E9" s="8" t="n">
        <x:f>COUNTIF(Cards!A2:A184,D9)+COUNTIF(Relics!A2:A35,D9)</x:f>
        <x:v>29</x:v>
      </x:c>
    </x:row>
    <x:row r="10" ht="28" customHeight="1">
      <x:c r="A10" s="2" t="str">
        <x:v>Tech</x:v>
      </x:c>
      <x:c r="B10" s="8" t="n">
        <x:f>COUNTIF(Cards!G2:G184,A10)</x:f>
        <x:v>36</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c904b592c92d4b9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