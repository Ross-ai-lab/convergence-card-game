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6015dc5f8494943" /></Relationships>
</file>

<file path=xl/workbook.xml><?xml version="1.0" encoding="utf-8"?>
<x:workbook xmlns:x="http://schemas.openxmlformats.org/spreadsheetml/2006/main">
  <x:sheets>
    <x:sheet xmlns:r="http://schemas.openxmlformats.org/officeDocument/2006/relationships" name="Cards" sheetId="1" r:id="Re3d09661d95247b5"/>
    <x:sheet xmlns:r="http://schemas.openxmlformats.org/officeDocument/2006/relationships" name="Relics" sheetId="2" r:id="R75b3dc41fad242c3"/>
    <x:sheet xmlns:r="http://schemas.openxmlformats.org/officeDocument/2006/relationships" name="Rules" sheetId="3" r:id="Ree7d6bcd11964017"/>
    <x:sheet xmlns:r="http://schemas.openxmlformats.org/officeDocument/2006/relationships" name="Summary" sheetId="4" r:id="Re309b9d298a7414d"/>
    <x:sheet xmlns:r="http://schemas.openxmlformats.org/officeDocument/2006/relationships" name="Lore Ranking" sheetId="5" r:id="R4e17c67c500b4dab"/>
    <x:sheet xmlns:r="http://schemas.openxmlformats.org/officeDocument/2006/relationships" name="Lore Ranking Rules" sheetId="6" r:id="R55814f50e8ae435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sz val="11"/>
      <x:color rgb="FF17202B"/>
      <x:name val="Calibri"/>
    </x:font>
    <x:font>
      <x:b/>
      <x:sz val="11"/>
      <x:color rgb="FFFFFFFF"/>
      <x:name val="Calibri"/>
    </x:font>
    <x:font>
      <x:b/>
      <x:sz val="11"/>
      <x:color rgb="FF17202B"/>
      <x:name val="Calibri"/>
    </x:font>
    <x:font>
      <x:b/>
      <x:sz val="15"/>
      <x:color rgb="FF1F2937"/>
      <x:name val="Calibri"/>
    </x:font>
    <x:font>
      <x:i/>
      <x:sz val="11"/>
      <x:color rgb="FF17202B"/>
      <x:name val="Calibri"/>
    </x:font>
    <x:font>
      <x:b/>
      <x:sz val="15"/>
      <x:color rgb="FFFFFFFF"/>
      <x:name val="Calibri"/>
    </x:font>
    <x:font>
      <x:i/>
      <x:sz val="10"/>
      <x:color rgb="FF1F2937"/>
      <x:name val="Calibri"/>
    </x:font>
  </x:fonts>
  <x:fills count="9">
    <x:fill>
      <x:patternFill patternType="none"/>
    </x:fill>
    <x:fill>
      <x:patternFill patternType="gray125"/>
    </x:fill>
    <x:fill>
      <x:patternFill patternType="solid">
        <x:fgColor rgb="FF1F2937"/>
      </x:patternFill>
    </x:fill>
    <x:fill>
      <x:patternFill patternType="solid">
        <x:fgColor rgb="FFF6F6F6"/>
      </x:patternFill>
    </x:fill>
    <x:fill>
      <x:patternFill patternType="solid">
        <x:fgColor rgb="FFFFFFFF"/>
      </x:patternFill>
    </x:fill>
    <x:fill>
      <x:patternFill patternType="solid">
        <x:fgColor rgb="FF1F4E78"/>
      </x:patternFill>
    </x:fill>
    <x:fill>
      <x:patternFill patternType="solid">
        <x:fgColor rgb="FFFFF2CC"/>
      </x:patternFill>
    </x:fill>
    <x:fill>
      <x:patternFill patternType="solid">
        <x:fgColor rgb="FFEAF2F8"/>
      </x:patternFill>
    </x:fill>
    <x:fill>
      <x:patternFill patternType="solid">
        <x:fgColor rgb="FFD9EAF7"/>
      </x:patternFill>
    </x:fill>
  </x:fills>
  <x:borders count="1">
    <x:border>
      <x:left/>
      <x:right/>
      <x:top/>
      <x:bottom/>
      <x:diagonal/>
    </x:border>
  </x:borders>
  <x:cellStyleXfs count="1">
    <x:xf numFmtId="0" fontId="0" fillId="0" borderId="0"/>
  </x:cellStyleXfs>
  <x:cellXfs count="4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0" fontId="1" fillId="3"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200" fontId="1" fillId="4"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200" fontId="1" fillId="3" borderId="0" xfId="0" applyNumberFormat="1" applyFont="1" applyFill="1" applyBorder="1" applyAlignment="1">
      <x:alignment horizontal="center" vertical="center"/>
    </x:xf>
    <x:xf numFmtId="200" fontId="1" fillId="4" borderId="0" xfId="0" applyNumberFormat="1" applyFont="1" applyFill="1" applyBorder="1" applyAlignment="1">
      <x:alignment horizontal="center" vertical="center"/>
    </x:xf>
    <x:xf numFmtId="0" fontId="1" fillId="3"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x:xf>
    <x:xf numFmtId="0" fontId="4"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1" fillId="0"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6" fillId="5" borderId="0" xfId="0" applyNumberFormat="1" applyFont="1" applyFill="1" applyBorder="1" applyAlignment="1">
      <x:alignment horizontal="left" vertical="center" wrapText="1"/>
    </x:xf>
    <x:xf numFmtId="0" fontId="1" fillId="6" borderId="0" xfId="0" applyNumberFormat="1" applyFont="1" applyFill="1" applyBorder="1" applyAlignment="1">
      <x:alignment vertical="center" wrapText="1"/>
    </x:xf>
    <x:xf numFmtId="0" fontId="3" fillId="6"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7" fillId="7"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wrapText="1"/>
    </x:xf>
    <x:xf numFmtId="0" fontId="6" fillId="5" borderId="0" xfId="0" applyNumberFormat="1" applyFont="1" applyFill="1" applyBorder="1" applyAlignment="1">
      <x:alignment horizontal="center" vertical="center" wrapText="1"/>
    </x:xf>
    <x:xf numFmtId="0" fontId="1" fillId="8" borderId="0" xfId="0" applyNumberFormat="1" applyFont="1" applyFill="1" applyBorder="1" applyAlignment="1">
      <x:alignment vertical="center" wrapText="1"/>
    </x:xf>
    <x:xf numFmtId="0" fontId="3" fillId="8" borderId="0" xfId="0" applyNumberFormat="1" applyFont="1" applyFill="1" applyBorder="1" applyAlignment="1">
      <x:alignment vertical="center" wrapText="1"/>
    </x:xf>
    <x:xf numFmtId="0" fontId="3" fillId="8"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cellXfs>
  <x:cellStyles count="1">
    <x:cellStyle name="Normal" xfId="0"/>
  </x:cellStyles>
  <x:dxfs count="13">
    <x:dxf>
      <x:font>
        <x:b/>
      </x:font>
      <x:fill>
        <x:patternFill patternType="solid">
          <x:bgColor rgb="FFE5E7EB"/>
        </x:patternFill>
      </x:fill>
    </x:dxf>
    <x:dxf>
      <x:font>
        <x:b/>
      </x:font>
      <x:fill>
        <x:patternFill patternType="solid">
          <x:bgColor rgb="FFE9D5FF"/>
        </x:patternFill>
      </x:fill>
    </x:dxf>
    <x:dxf>
      <x:font>
        <x:b/>
      </x:font>
      <x:fill>
        <x:patternFill patternType="solid">
          <x:bgColor rgb="FFFFE28A"/>
        </x:patternFill>
      </x:fill>
    </x:dxf>
    <x:dxf>
      <x:font>
        <x:b/>
      </x:font>
      <x:fill>
        <x:patternFill patternType="solid">
          <x:bgColor rgb="FFF7B4AD"/>
        </x:patternFill>
      </x:fill>
    </x:dxf>
    <x:dxf>
      <x:fill>
        <x:patternFill patternType="solid">
          <x:bgColor rgb="FFD9EAF7"/>
        </x:patternFill>
      </x:fill>
    </x:dxf>
    <x:dxf>
      <x:fill>
        <x:patternFill patternType="solid">
          <x:bgColor rgb="FFDFEFD8"/>
        </x:patternFill>
      </x:fill>
    </x:dxf>
    <x:dxf>
      <x:fill>
        <x:patternFill patternType="solid">
          <x:bgColor rgb="FFE9DFF3"/>
        </x:patternFill>
      </x:fill>
    </x:dxf>
    <x:dxf>
      <x:fill>
        <x:patternFill patternType="solid">
          <x:bgColor rgb="FFEEE8D8"/>
        </x:patternFill>
      </x:fill>
    </x:dxf>
    <x:dxf>
      <x:fill>
        <x:patternFill patternType="solid">
          <x:bgColor rgb="FFDEEBF7"/>
        </x:patternFill>
      </x:fill>
    </x:dxf>
    <x:dxf>
      <x:fill>
        <x:patternFill patternType="solid">
          <x:bgColor rgb="FFF8E0E4"/>
        </x:patternFill>
      </x:fill>
    </x:dxf>
    <x:dxf>
      <x:fill>
        <x:patternFill patternType="solid">
          <x:bgColor rgb="FFEFEFEF"/>
        </x:patternFill>
      </x:fill>
    </x:dxf>
    <x:dxf>
      <x:font>
        <x:b/>
        <x:color rgb="FF274E13"/>
      </x:font>
      <x:fill>
        <x:patternFill patternType="solid">
          <x:bgColor rgb="FFD9EAD3"/>
        </x:patternFill>
      </x:fill>
    </x:dxf>
    <x:dxf>
      <x:font>
        <x:b/>
        <x:color rgb="FF99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1a97c7ff4a44c2d" /><Relationship Type="http://schemas.openxmlformats.org/officeDocument/2006/relationships/theme" Target="/xl/theme/theme1.xml" Id="Re1e25f1f4fa047d9" /><Relationship Type="http://schemas.openxmlformats.org/officeDocument/2006/relationships/sharedStrings" Target="/xl/sharedStrings.xml" Id="R07a99ae4a0e44783" /><Relationship Type="http://schemas.openxmlformats.org/officeDocument/2006/relationships/worksheet" Target="/xl/worksheets/sheet1.xml" Id="Re3d09661d95247b5" /><Relationship Type="http://schemas.openxmlformats.org/officeDocument/2006/relationships/worksheet" Target="/xl/worksheets/sheet2.xml" Id="R75b3dc41fad242c3" /><Relationship Type="http://schemas.openxmlformats.org/officeDocument/2006/relationships/worksheet" Target="/xl/worksheets/sheet3.xml" Id="Ree7d6bcd11964017" /><Relationship Type="http://schemas.openxmlformats.org/officeDocument/2006/relationships/worksheet" Target="/xl/worksheets/sheet4.xml" Id="Re309b9d298a7414d" /><Relationship Type="http://schemas.openxmlformats.org/officeDocument/2006/relationships/worksheet" Target="/xl/worksheets/sheet5.xml" Id="R4e17c67c500b4dab" /><Relationship Type="http://schemas.openxmlformats.org/officeDocument/2006/relationships/worksheet" Target="/xl/worksheets/sheet6.xml" Id="R55814f50e8ae4351" /></Relationships>
</file>

<file path=xl/tables/table1.xml><?xml version="1.0" encoding="utf-8"?>
<x:table xmlns:x="http://schemas.openxmlformats.org/spreadsheetml/2006/main" id="1" name="CardRoster" displayName="CardRoster" ref="A1:L184" headerRowCount="1" totalsRowCount="0" totalsRowShown="0">
  <x:tableColumns count="12">
    <x:tableColumn id="1" name="Cost"/>
    <x:tableColumn id="2" name="Name"/>
    <x:tableColumn id="3" name="Stats"/>
    <x:tableColumn id="4" name="ATK"/>
    <x:tableColumn id="5" name="HP"/>
    <x:tableColumn id="6" name="Rarity"/>
    <x:tableColumn id="7" name="Camp"/>
    <x:tableColumn id="8" name="Alignment"/>
    <x:tableColumn id="9" name="Card Effect"/>
    <x:tableColumn id="10" name="Flavor Text"/>
    <x:tableColumn id="11" name="Origin"/>
    <x:tableColumn id="12" name="Card ID"/>
  </x:tableColumns>
  <x:tableStyleInfo name="TableStyleMedium2" showFirstColumn="0" showLastColumn="0" showRowStripes="1" showColumnStripes="0"/>
</x:table>
</file>

<file path=xl/tables/table2.xml><?xml version="1.0" encoding="utf-8"?>
<x:table xmlns:x="http://schemas.openxmlformats.org/spreadsheetml/2006/main" id="2" name="RelicRoster" displayName="RelicRoster" ref="A1:F35" headerRowCount="1" totalsRowCount="0" totalsRowShown="0">
  <x:tableColumns count="6">
    <x:tableColumn id="1" name="Cost"/>
    <x:tableColumn id="2" name="Name"/>
    <x:tableColumn id="3" name="Card Effect"/>
    <x:tableColumn id="4" name="Flavor Text"/>
    <x:tableColumn id="5" name="Origin"/>
    <x:tableColumn id="6" name="Card ID"/>
  </x:tableColumns>
  <x:tableStyleInfo name="TableStyleMedium2" showFirstColumn="0" showLastColumn="0" showRowStripes="1" showColumnStripes="0"/>
</x:table>
</file>

<file path=xl/tables/table3.xml><?xml version="1.0" encoding="utf-8"?>
<x:table xmlns:x="http://schemas.openxmlformats.org/spreadsheetml/2006/main" id="3" name="LoreRanking" displayName="LoreRanking" ref="A6:O190" headerRowCount="1" totalsRowCount="0" totalsRowShown="0">
  <x:tableColumns count="15">
    <x:tableColumn id="1" name="Name"/>
    <x:tableColumn id="2" name="Character Ranking Cost"/>
    <x:tableColumn id="3" name="Current Playable Cost"/>
    <x:tableColumn id="4" name="Cost Status"/>
    <x:tableColumn id="5" name="Card ID"/>
    <x:tableColumn id="6" name="Playable Card Name"/>
    <x:tableColumn id="7" name="Camp"/>
    <x:tableColumn id="8" name="Origin"/>
    <x:tableColumn id="9" name="Version"/>
    <x:tableColumn id="10" name="Quantity"/>
    <x:tableColumn id="11" name="Key Feats"/>
    <x:tableColumn id="12" name="Scaling"/>
    <x:tableColumn id="13" name="Limitations"/>
    <x:tableColumn id="14" name="Hax / Special Abilities"/>
    <x:tableColumn id="15" name="Sourc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1dd7ffecd824c66" /></Relationships>
</file>

<file path=xl/worksheets/_rels/sheet2.xml.rels>&#65279;<?xml version="1.0" encoding="utf-8"?><Relationships xmlns="http://schemas.openxmlformats.org/package/2006/relationships"><Relationship Type="http://schemas.openxmlformats.org/officeDocument/2006/relationships/table" Target="/xl/tables/table2.xml" Id="Rc154ec3e27f54fa3" /></Relationships>
</file>

<file path=xl/worksheets/_rels/sheet5.xml.rels>&#65279;<?xml version="1.0" encoding="utf-8"?><Relationships xmlns="http://schemas.openxmlformats.org/package/2006/relationships"><Relationship Type="http://schemas.openxmlformats.org/officeDocument/2006/relationships/table" Target="/xl/tables/table3.xml" Id="R0ac5f3e07c244c4e"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 hidden="0" customWidth="1"/>
    <x:col min="2" max="2" width="33" hidden="0" customWidth="1"/>
    <x:col min="3" max="3" width="9" hidden="0" customWidth="1"/>
    <x:col min="4" max="4" width="7" hidden="0" customWidth="1"/>
    <x:col min="5" max="5" width="7" hidden="0" customWidth="1"/>
    <x:col min="6" max="6" width="15" hidden="0" customWidth="1"/>
    <x:col min="7" max="7" width="14" hidden="0" customWidth="1"/>
    <x:col min="8" max="8" width="14" hidden="0" customWidth="1"/>
    <x:col min="9" max="9" width="66" hidden="0" customWidth="1"/>
    <x:col min="10" max="10" width="44" hidden="0" customWidth="1"/>
    <x:col min="11" max="11" width="27" hidden="0" customWidth="1"/>
    <x:col min="12" max="12" width="12" hidden="0" customWidth="1"/>
  </x:cols>
  <x:sheetData>
    <x:row r="1" ht="28" customHeight="1">
      <x:c r="A1" s="6" t="str">
        <x:v>Cost</x:v>
      </x:c>
      <x:c r="B1" s="6" t="str">
        <x:v>Name</x:v>
      </x:c>
      <x:c r="C1" s="6" t="str">
        <x:v>Stats</x:v>
      </x:c>
      <x:c r="D1" s="6" t="str">
        <x:v>ATK</x:v>
      </x:c>
      <x:c r="E1" s="6" t="str">
        <x:v>HP</x:v>
      </x:c>
      <x:c r="F1" s="6" t="str">
        <x:v>Rarity</x:v>
      </x:c>
      <x:c r="G1" s="6" t="str">
        <x:v>Camp</x:v>
      </x:c>
      <x:c r="H1" s="6" t="str">
        <x:v>Alignment</x:v>
      </x:c>
      <x:c r="I1" s="6" t="str">
        <x:v>Card Effect</x:v>
      </x:c>
      <x:c r="J1" s="6" t="str">
        <x:v>Flavor Text</x:v>
      </x:c>
      <x:c r="K1" s="6" t="str">
        <x:v>Origin</x:v>
      </x:c>
      <x:c r="L1" s="6" t="str">
        <x:v>Card ID</x:v>
      </x:c>
    </x:row>
    <x:row r="2" ht="44" customHeight="1">
      <x:c r="A2" s="21" t="n">
        <x:v>10</x:v>
      </x:c>
      <x:c r="B2" s="14" t="str">
        <x:v>Bill Cipher</x:v>
      </x:c>
      <x:c r="C2" s="23" t="str">
        <x:f>D2&amp;"/"&amp;E2</x:f>
        <x:v>6/6</x:v>
      </x:c>
      <x:c r="D2" s="21" t="n">
        <x:v>6</x:v>
      </x:c>
      <x:c r="E2" s="21" t="n">
        <x:v>6</x:v>
      </x:c>
      <x:c r="F2" s="23" t="str">
        <x:v>Mythic</x:v>
      </x:c>
      <x:c r="G2" s="23" t="str">
        <x:v>Magic</x:v>
      </x:c>
      <x:c r="H2" s="23" t="str">
        <x:v>Evil</x:v>
      </x:c>
      <x:c r="I2" s="13" t="str">
        <x:v>Battlecry: Choose 1 enemy minion board slot. Minions on that board slot can only attack randomly</x:v>
      </x:c>
      <x:c r="J2" s="13" t="str">
        <x:v>Chaos was his homeland for millenia</x:v>
      </x:c>
      <x:c r="K2" s="13" t="str">
        <x:v>Gravity Falls</x:v>
      </x:c>
      <x:c r="L2" s="12" t="str">
        <x:v>c041</x:v>
      </x:c>
    </x:row>
    <x:row r="3" ht="42" customHeight="1">
      <x:c r="A3" s="22" t="n">
        <x:v>10</x:v>
      </x:c>
      <x:c r="B3" s="19" t="str">
        <x:v>Black Hole</x:v>
      </x:c>
      <x:c r="C3" s="24" t="str">
        <x:f>D3&amp;"/"&amp;E3</x:f>
        <x:v>7/4</x:v>
      </x:c>
      <x:c r="D3" s="22" t="n">
        <x:v>7</x:v>
      </x:c>
      <x:c r="E3" s="22" t="n">
        <x:v>4</x:v>
      </x:c>
      <x:c r="F3" s="24" t="str">
        <x:v>Rare</x:v>
      </x:c>
      <x:c r="G3" s="24" t="str">
        <x:v>Magic</x:v>
      </x:c>
      <x:c r="H3" s="24" t="str">
        <x:v>Neutral</x:v>
      </x:c>
      <x:c r="I3" s="18" t="str">
        <x:v>Deathrattle: Silence then destroy all minions</x:v>
      </x:c>
      <x:c r="J3" s="18" t="str">
        <x:v>Nothing escapes the singularity.</x:v>
      </x:c>
      <x:c r="K3" s="18" t="str">
        <x:v>Basic</x:v>
      </x:c>
      <x:c r="L3" s="17" t="str">
        <x:v>c178</x:v>
      </x:c>
    </x:row>
    <x:row r="4" ht="44" customHeight="1">
      <x:c r="A4" s="21" t="n">
        <x:v>10</x:v>
      </x:c>
      <x:c r="B4" s="14" t="str">
        <x:v>Doctor Manhattan</x:v>
      </x:c>
      <x:c r="C4" s="23" t="str">
        <x:f>D4&amp;"/"&amp;E4</x:f>
        <x:v>1/1</x:v>
      </x:c>
      <x:c r="D4" s="21" t="n">
        <x:v>1</x:v>
      </x:c>
      <x:c r="E4" s="21" t="n">
        <x:v>1</x:v>
      </x:c>
      <x:c r="F4" s="23" t="str">
        <x:v>Epic</x:v>
      </x:c>
      <x:c r="G4" s="23" t="str">
        <x:v>Magic</x:v>
      </x:c>
      <x:c r="H4" s="23" t="str">
        <x:v>Neutral</x:v>
      </x:c>
      <x:c r="I4" s="13" t="str">
        <x:v>Battlecry: Choose an enemy minion board slot. Minions on that slot have their stats permanently set to 1/1</x:v>
      </x:c>
      <x:c r="J4" s="13" t="str">
        <x:v>Transcended</x:v>
      </x:c>
      <x:c r="K4" s="13" t="str">
        <x:v>Watchmen</x:v>
      </x:c>
      <x:c r="L4" s="12" t="str">
        <x:v>c043</x:v>
      </x:c>
    </x:row>
    <x:row r="5" ht="42" customHeight="1">
      <x:c r="A5" s="22" t="n">
        <x:v>10</x:v>
      </x:c>
      <x:c r="B5" s="19" t="str">
        <x:v>Flash</x:v>
      </x:c>
      <x:c r="C5" s="24" t="str">
        <x:f>D5&amp;"/"&amp;E5</x:f>
        <x:v>4/4</x:v>
      </x:c>
      <x:c r="D5" s="22" t="n">
        <x:v>4</x:v>
      </x:c>
      <x:c r="E5" s="22" t="n">
        <x:v>4</x:v>
      </x:c>
      <x:c r="F5" s="24" t="str">
        <x:v>Legendary</x:v>
      </x:c>
      <x:c r="G5" s="24" t="str">
        <x:v>Magic</x:v>
      </x:c>
      <x:c r="H5" s="24" t="str">
        <x:v>Good</x:v>
      </x:c>
      <x:c r="I5" s="18" t="str">
        <x:v>Charge. Divine Shield. Passive: Can attack 2 times each turn</x:v>
      </x:c>
      <x:c r="J5" s="18" t="str">
        <x:v>Speed of light. And beyond.</x:v>
      </x:c>
      <x:c r="K5" s="18" t="str">
        <x:v>DCU</x:v>
      </x:c>
      <x:c r="L5" s="17" t="str">
        <x:v>c028</x:v>
      </x:c>
    </x:row>
    <x:row r="6" ht="44" customHeight="1">
      <x:c r="A6" s="21" t="n">
        <x:v>10</x:v>
      </x:c>
      <x:c r="B6" s="14" t="str">
        <x:v>Giorno - Gold Experience Requiem</x:v>
      </x:c>
      <x:c r="C6" s="23" t="str">
        <x:f>D6&amp;"/"&amp;E6</x:f>
        <x:v>4/8</x:v>
      </x:c>
      <x:c r="D6" s="21" t="n">
        <x:v>4</x:v>
      </x:c>
      <x:c r="E6" s="21" t="n">
        <x:v>8</x:v>
      </x:c>
      <x:c r="F6" s="23" t="str">
        <x:v>Legendary</x:v>
      </x:c>
      <x:c r="G6" s="23" t="str">
        <x:v>Magic</x:v>
      </x:c>
      <x:c r="H6" s="23" t="str">
        <x:v>Neutral</x:v>
      </x:c>
      <x:c r="I6" s="13" t="str">
        <x:v>Battlecry: Choose 1 enemy minion board slot. Enemy minions on that board slot are permanently Chained</x:v>
      </x:c>
      <x:c r="J6" s="13" t="str">
        <x:v>Cause and Effect</x:v>
      </x:c>
      <x:c r="K6" s="13" t="str">
        <x:v>JoJo</x:v>
      </x:c>
      <x:c r="L6" s="12" t="str">
        <x:v>c042</x:v>
      </x:c>
    </x:row>
    <x:row r="7" ht="42" customHeight="1">
      <x:c r="A7" s="22" t="n">
        <x:v>10</x:v>
      </x:c>
      <x:c r="B7" s="19" t="str">
        <x:v>Goku</x:v>
      </x:c>
      <x:c r="C7" s="24" t="str">
        <x:f>D7&amp;"/"&amp;E7</x:f>
        <x:v>6/7</x:v>
      </x:c>
      <x:c r="D7" s="22" t="n">
        <x:v>6</x:v>
      </x:c>
      <x:c r="E7" s="22" t="n">
        <x:v>7</x:v>
      </x:c>
      <x:c r="F7" s="24" t="str">
        <x:v>Mythic</x:v>
      </x:c>
      <x:c r="G7" s="24" t="str">
        <x:v>Magic</x:v>
      </x:c>
      <x:c r="H7" s="24" t="str">
        <x:v>Good</x:v>
      </x:c>
      <x:c r="I7" s="18" t="str">
        <x:v>Passive: Evade the first attack targeting Goku each enemy turn</x:v>
      </x:c>
      <x:c r="J7" s="18" t="str">
        <x:v>Activate Universe Breathing Technique</x:v>
      </x:c>
      <x:c r="K7" s="18" t="str">
        <x:v>Dragon Ball</x:v>
      </x:c>
      <x:c r="L7" s="17" t="str">
        <x:v>c044</x:v>
      </x:c>
    </x:row>
    <x:row r="8" ht="42" customHeight="1">
      <x:c r="A8" s="21" t="n">
        <x:v>10</x:v>
      </x:c>
      <x:c r="B8" s="14" t="str">
        <x:v>Rick Prime</x:v>
      </x:c>
      <x:c r="C8" s="23" t="str">
        <x:f>D8&amp;"/"&amp;E8</x:f>
        <x:v>1/1</x:v>
      </x:c>
      <x:c r="D8" s="21" t="n">
        <x:v>1</x:v>
      </x:c>
      <x:c r="E8" s="21" t="n">
        <x:v>1</x:v>
      </x:c>
      <x:c r="F8" s="23" t="str">
        <x:v>Legendary</x:v>
      </x:c>
      <x:c r="G8" s="23" t="str">
        <x:v>Tech</x:v>
      </x:c>
      <x:c r="H8" s="23" t="str">
        <x:v>Evil</x:v>
      </x:c>
      <x:c r="I8" s="13" t="str">
        <x:v>Battlecry: Return all other minions to their owners' hands</x:v>
      </x:c>
      <x:c r="J8" s="13" t="str">
        <x:v>What…</x:v>
      </x:c>
      <x:c r="K8" s="13" t="str">
        <x:v>Rick and Morty</x:v>
      </x:c>
      <x:c r="L8" s="12" t="str">
        <x:v>c045</x:v>
      </x:c>
    </x:row>
    <x:row r="9" ht="42" customHeight="1">
      <x:c r="A9" s="22" t="n">
        <x:v>10</x:v>
      </x:c>
      <x:c r="B9" s="19" t="str">
        <x:v>Saitama</x:v>
      </x:c>
      <x:c r="C9" s="24" t="str">
        <x:f>D9&amp;"/"&amp;E9</x:f>
        <x:v>10/10</x:v>
      </x:c>
      <x:c r="D9" s="22" t="n">
        <x:v>10</x:v>
      </x:c>
      <x:c r="E9" s="22" t="n">
        <x:v>10</x:v>
      </x:c>
      <x:c r="F9" s="24" t="str">
        <x:v>Mythic</x:v>
      </x:c>
      <x:c r="G9" s="24" t="str">
        <x:v>Nature</x:v>
      </x:c>
      <x:c r="H9" s="24" t="str">
        <x:v>Good</x:v>
      </x:c>
      <x:c r="I9" s="18" t="str">
        <x:v>Passive: Ignores ATK damage less than 5</x:v>
      </x:c>
      <x:c r="J9" s="18" t="str">
        <x:v>The punchline is always the same.</x:v>
      </x:c>
      <x:c r="K9" s="18" t="str">
        <x:v>OPM</x:v>
      </x:c>
      <x:c r="L9" s="17" t="str">
        <x:v>c025</x:v>
      </x:c>
    </x:row>
    <x:row r="10" ht="44" customHeight="1">
      <x:c r="A10" s="21" t="n">
        <x:v>10</x:v>
      </x:c>
      <x:c r="B10" s="14" t="str">
        <x:v>Thanos</x:v>
      </x:c>
      <x:c r="C10" s="23" t="str">
        <x:f>D10&amp;"/"&amp;E10</x:f>
        <x:v>5/5</x:v>
      </x:c>
      <x:c r="D10" s="21" t="n">
        <x:v>5</x:v>
      </x:c>
      <x:c r="E10" s="21" t="n">
        <x:v>5</x:v>
      </x:c>
      <x:c r="F10" s="23" t="str">
        <x:v>Mythic</x:v>
      </x:c>
      <x:c r="G10" s="23" t="str">
        <x:v>Magic</x:v>
      </x:c>
      <x:c r="H10" s="23" t="str">
        <x:v>Evil</x:v>
      </x:c>
      <x:c r="I10" s="13" t="str">
        <x:v>Battlecry: Reduce the number of minions on the board by half, chosen randomly</x:v>
      </x:c>
      <x:c r="J10" s="13" t="str">
        <x:v>Balance. At any cost.</x:v>
      </x:c>
      <x:c r="K10" s="13" t="str">
        <x:v>MCU</x:v>
      </x:c>
      <x:c r="L10" s="12" t="str">
        <x:v>c027</x:v>
      </x:c>
    </x:row>
    <x:row r="11" ht="42" customHeight="1">
      <x:c r="A11" s="22" t="n">
        <x:v>10</x:v>
      </x:c>
      <x:c r="B11" s="19" t="str">
        <x:v>The Watcher</x:v>
      </x:c>
      <x:c r="C11" s="24" t="str">
        <x:f>D11&amp;"/"&amp;E11</x:f>
        <x:v>10/7</x:v>
      </x:c>
      <x:c r="D11" s="22" t="n">
        <x:v>10</x:v>
      </x:c>
      <x:c r="E11" s="22" t="n">
        <x:v>7</x:v>
      </x:c>
      <x:c r="F11" s="24" t="str">
        <x:v>Rare</x:v>
      </x:c>
      <x:c r="G11" s="24" t="str">
        <x:v>Magic</x:v>
      </x:c>
      <x:c r="H11" s="24" t="str">
        <x:v>Neutral</x:v>
      </x:c>
      <x:c r="I11" s="18" t="str">
        <x:v>Cannot attack. Passive: Your opponent's hand is revealed to you</x:v>
      </x:c>
      <x:c r="J11" s="18" t="str">
        <x:v>The Witness</x:v>
      </x:c>
      <x:c r="K11" s="18" t="str">
        <x:v>MCU</x:v>
      </x:c>
      <x:c r="L11" s="17" t="str">
        <x:v>c046</x:v>
      </x:c>
    </x:row>
    <x:row r="12" ht="42" customHeight="1">
      <x:c r="A12" s="21" t="n">
        <x:v>9</x:v>
      </x:c>
      <x:c r="B12" s="14" t="str">
        <x:v>Ainz Ooal Gown</x:v>
      </x:c>
      <x:c r="C12" s="23" t="str">
        <x:f>D12&amp;"/"&amp;E12</x:f>
        <x:v>3/3</x:v>
      </x:c>
      <x:c r="D12" s="21" t="n">
        <x:v>3</x:v>
      </x:c>
      <x:c r="E12" s="21" t="n">
        <x:v>3</x:v>
      </x:c>
      <x:c r="F12" s="23" t="str">
        <x:v>Mythic</x:v>
      </x:c>
      <x:c r="G12" s="23" t="str">
        <x:v>Magic</x:v>
      </x:c>
      <x:c r="H12" s="23" t="str">
        <x:v>Evil</x:v>
      </x:c>
      <x:c r="I12" s="13" t="str">
        <x:v>Battlecry: Set all enemy minions' HP to 1</x:v>
      </x:c>
      <x:c r="J12" s="13" t="str">
        <x:v>The king of death.</x:v>
      </x:c>
      <x:c r="K12" s="13" t="str">
        <x:v>Overlord</x:v>
      </x:c>
      <x:c r="L12" s="12" t="str">
        <x:v>c023</x:v>
      </x:c>
    </x:row>
    <x:row r="13" ht="42" customHeight="1">
      <x:c r="A13" s="22" t="n">
        <x:v>9</x:v>
      </x:c>
      <x:c r="B13" s="19" t="str">
        <x:v>Aizen</x:v>
      </x:c>
      <x:c r="C13" s="24" t="str">
        <x:f>D13&amp;"/"&amp;E13</x:f>
        <x:v>4/4</x:v>
      </x:c>
      <x:c r="D13" s="22" t="n">
        <x:v>4</x:v>
      </x:c>
      <x:c r="E13" s="22" t="n">
        <x:v>4</x:v>
      </x:c>
      <x:c r="F13" s="24" t="str">
        <x:v>Epic</x:v>
      </x:c>
      <x:c r="G13" s="24" t="str">
        <x:v>Magic</x:v>
      </x:c>
      <x:c r="H13" s="24" t="str">
        <x:v>Evil</x:v>
      </x:c>
      <x:c r="I13" s="18" t="str">
        <x:v>Reborn twice. Silence and chain your killer</x:v>
      </x:c>
      <x:c r="J13" s="18" t="str">
        <x:v>All part of the plan</x:v>
      </x:c>
      <x:c r="K13" s="18" t="str">
        <x:v>Bleach</x:v>
      </x:c>
      <x:c r="L13" s="17" t="str">
        <x:v>c050</x:v>
      </x:c>
    </x:row>
    <x:row r="14" ht="42" customHeight="1">
      <x:c r="A14" s="21" t="n">
        <x:v>9</x:v>
      </x:c>
      <x:c r="B14" s="14" t="str">
        <x:v>Antimatter Bomb</x:v>
      </x:c>
      <x:c r="C14" s="23" t="str">
        <x:f>D14&amp;"/"&amp;E14</x:f>
        <x:v>1/1</x:v>
      </x:c>
      <x:c r="D14" s="21" t="n">
        <x:v>1</x:v>
      </x:c>
      <x:c r="E14" s="21" t="n">
        <x:v>1</x:v>
      </x:c>
      <x:c r="F14" s="23" t="str">
        <x:v>Rare</x:v>
      </x:c>
      <x:c r="G14" s="23" t="str">
        <x:v>Tech</x:v>
      </x:c>
      <x:c r="H14" s="23" t="str">
        <x:v>Neutral</x:v>
      </x:c>
      <x:c r="I14" s="13" t="str">
        <x:v>Deathrattle: Deal 20 damage to both cores</x:v>
      </x:c>
      <x:c r="J14" s="13" t="str">
        <x:v>No safe distance.</x:v>
      </x:c>
      <x:c r="K14" s="13" t="str">
        <x:v>Basic</x:v>
      </x:c>
      <x:c r="L14" s="12" t="str">
        <x:v>c186</x:v>
      </x:c>
    </x:row>
    <x:row r="15" ht="42" customHeight="1">
      <x:c r="A15" s="22" t="n">
        <x:v>9</x:v>
      </x:c>
      <x:c r="B15" s="19" t="str">
        <x:v>Boros</x:v>
      </x:c>
      <x:c r="C15" s="24" t="str">
        <x:f>D15&amp;"/"&amp;E15</x:f>
        <x:v>6/8</x:v>
      </x:c>
      <x:c r="D15" s="22" t="n">
        <x:v>6</x:v>
      </x:c>
      <x:c r="E15" s="22" t="n">
        <x:v>8</x:v>
      </x:c>
      <x:c r="F15" s="24" t="str">
        <x:v>Epic</x:v>
      </x:c>
      <x:c r="G15" s="24" t="str">
        <x:v>Nature</x:v>
      </x:c>
      <x:c r="H15" s="24" t="str">
        <x:v>Evil</x:v>
      </x:c>
      <x:c r="I15" s="18" t="str">
        <x:v>Ongoing: Heal 5 HP</x:v>
      </x:c>
      <x:c r="J15" s="18" t="str">
        <x:v>Strongest of his Universe</x:v>
      </x:c>
      <x:c r="K15" s="18" t="str">
        <x:v>OPM</x:v>
      </x:c>
      <x:c r="L15" s="17" t="str">
        <x:v>c051</x:v>
      </x:c>
    </x:row>
    <x:row r="16" ht="60" customHeight="1">
      <x:c r="A16" s="21" t="n">
        <x:v>9</x:v>
      </x:c>
      <x:c r="B16" s="14" t="str">
        <x:v>Death Star</x:v>
      </x:c>
      <x:c r="C16" s="23" t="str">
        <x:f>D16&amp;"/"&amp;E16</x:f>
        <x:v>7/6</x:v>
      </x:c>
      <x:c r="D16" s="21" t="n">
        <x:v>7</x:v>
      </x:c>
      <x:c r="E16" s="21" t="n">
        <x:v>6</x:v>
      </x:c>
      <x:c r="F16" s="23" t="str">
        <x:v>Rare</x:v>
      </x:c>
      <x:c r="G16" s="23" t="str">
        <x:v>Tech</x:v>
      </x:c>
      <x:c r="H16" s="23" t="str">
        <x:v>Neutral</x:v>
      </x:c>
      <x:c r="I16" s="13" t="str">
        <x:v>Battlecry: Mark an enemy minion or the enemy core. At the start of your next turn, if Death Star survives, destroy the marked minion or deal 12 damage to the marked core</x:v>
      </x:c>
      <x:c r="J16" s="13" t="str">
        <x:v>The ultimate weapon.</x:v>
      </x:c>
      <x:c r="K16" s="13" t="str">
        <x:v>Star Wars</x:v>
      </x:c>
      <x:c r="L16" s="12" t="str">
        <x:v>c055</x:v>
      </x:c>
    </x:row>
    <x:row r="17" ht="44" customHeight="1">
      <x:c r="A17" s="22" t="n">
        <x:v>9</x:v>
      </x:c>
      <x:c r="B17" s="19" t="str">
        <x:v>Doomsday</x:v>
      </x:c>
      <x:c r="C17" s="24" t="str">
        <x:f>D17&amp;"/"&amp;E17</x:f>
        <x:v>7/6</x:v>
      </x:c>
      <x:c r="D17" s="22" t="n">
        <x:v>7</x:v>
      </x:c>
      <x:c r="E17" s="22" t="n">
        <x:v>6</x:v>
      </x:c>
      <x:c r="F17" s="24" t="str">
        <x:v>Rare</x:v>
      </x:c>
      <x:c r="G17" s="24" t="str">
        <x:v>Nature</x:v>
      </x:c>
      <x:c r="H17" s="24" t="str">
        <x:v>Evil</x:v>
      </x:c>
      <x:c r="I17" s="18" t="str">
        <x:v>Passive: After it is attacked, gain immunity to that enemies Camp type of attack for the next 3 enemy turns</x:v>
      </x:c>
      <x:c r="J17" s="18" t="str">
        <x:v>Death is his only teacher, and he has learned well</x:v>
      </x:c>
      <x:c r="K17" s="18" t="str">
        <x:v>DCU</x:v>
      </x:c>
      <x:c r="L17" s="17" t="str">
        <x:v>c056</x:v>
      </x:c>
    </x:row>
    <x:row r="18" ht="44" customHeight="1">
      <x:c r="A18" s="21" t="n">
        <x:v>9</x:v>
      </x:c>
      <x:c r="B18" s="14" t="str">
        <x:v>Dormammu</x:v>
      </x:c>
      <x:c r="C18" s="23" t="str">
        <x:f>D18&amp;"/"&amp;E18</x:f>
        <x:v>8/5</x:v>
      </x:c>
      <x:c r="D18" s="21" t="n">
        <x:v>8</x:v>
      </x:c>
      <x:c r="E18" s="21" t="n">
        <x:v>5</x:v>
      </x:c>
      <x:c r="F18" s="23" t="str">
        <x:v>Epic</x:v>
      </x:c>
      <x:c r="G18" s="23" t="str">
        <x:v>Magic</x:v>
      </x:c>
      <x:c r="H18" s="23" t="str">
        <x:v>Evil</x:v>
      </x:c>
      <x:c r="I18" s="13" t="str">
        <x:v>Battlecry: Choose an enemy minion. Banish it to the Dark Dimension until Dormammu dies</x:v>
      </x:c>
      <x:c r="J18" s="13" t="str">
        <x:v>I've come to bargain</x:v>
      </x:c>
      <x:c r="K18" s="13" t="str">
        <x:v>MCU</x:v>
      </x:c>
      <x:c r="L18" s="12" t="str">
        <x:v>c052</x:v>
      </x:c>
    </x:row>
    <x:row r="19" ht="42" customHeight="1">
      <x:c r="A19" s="22" t="n">
        <x:v>9</x:v>
      </x:c>
      <x:c r="B19" s="19" t="str">
        <x:v>Gojo</x:v>
      </x:c>
      <x:c r="C19" s="24" t="str">
        <x:f>D19&amp;"/"&amp;E19</x:f>
        <x:v>4/8</x:v>
      </x:c>
      <x:c r="D19" s="22" t="n">
        <x:v>4</x:v>
      </x:c>
      <x:c r="E19" s="22" t="n">
        <x:v>8</x:v>
      </x:c>
      <x:c r="F19" s="24" t="str">
        <x:v>Mythic</x:v>
      </x:c>
      <x:c r="G19" s="24" t="str">
        <x:v>Magic</x:v>
      </x:c>
      <x:c r="H19" s="24" t="str">
        <x:v>Good</x:v>
      </x:c>
      <x:c r="I19" s="18" t="str">
        <x:v>Passive: All enemy minions are temporarily silenced</x:v>
      </x:c>
      <x:c r="J19" s="18" t="str">
        <x:v>Infinity is rude.</x:v>
      </x:c>
      <x:c r="K19" s="18" t="str">
        <x:v>Jujutsu Kaisen</x:v>
      </x:c>
      <x:c r="L19" s="17" t="str">
        <x:v>c022</x:v>
      </x:c>
    </x:row>
    <x:row r="20" ht="44" customHeight="1">
      <x:c r="A20" s="21" t="n">
        <x:v>9</x:v>
      </x:c>
      <x:c r="B20" s="14" t="str">
        <x:v>Mob Psycho</x:v>
      </x:c>
      <x:c r="C20" s="23" t="str">
        <x:f>D20&amp;"/"&amp;E20</x:f>
        <x:v>5/5</x:v>
      </x:c>
      <x:c r="D20" s="21" t="n">
        <x:v>5</x:v>
      </x:c>
      <x:c r="E20" s="21" t="n">
        <x:v>5</x:v>
      </x:c>
      <x:c r="F20" s="23" t="str">
        <x:v>Epic</x:v>
      </x:c>
      <x:c r="G20" s="23" t="str">
        <x:v>Magic</x:v>
      </x:c>
      <x:c r="H20" s="23" t="str">
        <x:v>Good</x:v>
      </x:c>
      <x:c r="I20" s="13" t="str">
        <x:v>Battlecry: If 2 or more friendly minions are on the board, return them to your hand and set Mob's stats to 10/10</x:v>
      </x:c>
      <x:c r="J20" s="13" t="str">
        <x:v>A quiet storm</x:v>
      </x:c>
      <x:c r="K20" s="13" t="str">
        <x:v>Mob Psycho</x:v>
      </x:c>
      <x:c r="L20" s="12" t="str">
        <x:v>c053</x:v>
      </x:c>
    </x:row>
    <x:row r="21" ht="42" customHeight="1">
      <x:c r="A21" s="22" t="n">
        <x:v>9</x:v>
      </x:c>
      <x:c r="B21" s="19" t="str">
        <x:v>Rimuru Tempest</x:v>
      </x:c>
      <x:c r="C21" s="24" t="str">
        <x:f>D21&amp;"/"&amp;E21</x:f>
        <x:v>1/1</x:v>
      </x:c>
      <x:c r="D21" s="22" t="n">
        <x:v>1</x:v>
      </x:c>
      <x:c r="E21" s="22" t="n">
        <x:v>1</x:v>
      </x:c>
      <x:c r="F21" s="24" t="str">
        <x:v>Legendary</x:v>
      </x:c>
      <x:c r="G21" s="24" t="str">
        <x:v>Magic</x:v>
      </x:c>
      <x:c r="H21" s="24" t="str">
        <x:v>Good</x:v>
      </x:c>
      <x:c r="I21" s="18" t="str">
        <x:v>Battlecry: Destroy a minion. Gain its stats. Ongoing: Gain +1/+1</x:v>
      </x:c>
      <x:c r="J21" s="18" t="str">
        <x:v>Infinite growth</x:v>
      </x:c>
      <x:c r="K21" s="18" t="str">
        <x:v>Tensura</x:v>
      </x:c>
      <x:c r="L21" s="17" t="str">
        <x:v>c049</x:v>
      </x:c>
    </x:row>
    <x:row r="22" ht="44" customHeight="1">
      <x:c r="A22" s="21" t="n">
        <x:v>9</x:v>
      </x:c>
      <x:c r="B22" s="14" t="str">
        <x:v>Ten Tails</x:v>
      </x:c>
      <x:c r="C22" s="23" t="str">
        <x:f>D22&amp;"/"&amp;E22</x:f>
        <x:v>7/5</x:v>
      </x:c>
      <x:c r="D22" s="21" t="n">
        <x:v>7</x:v>
      </x:c>
      <x:c r="E22" s="21" t="n">
        <x:v>5</x:v>
      </x:c>
      <x:c r="F22" s="23" t="str">
        <x:v>Rare</x:v>
      </x:c>
      <x:c r="G22" s="23" t="str">
        <x:v>Nature</x:v>
      </x:c>
      <x:c r="H22" s="23" t="str">
        <x:v>Evil</x:v>
      </x:c>
      <x:c r="I22" s="13" t="str">
        <x:v>Battlecry: Chain all other minions</x:v>
      </x:c>
      <x:c r="J22" s="13" t="str">
        <x:v>The beast before beginnings, hungry for the end</x:v>
      </x:c>
      <x:c r="K22" s="13" t="str">
        <x:v>Naruto</x:v>
      </x:c>
      <x:c r="L22" s="12" t="str">
        <x:v>c057</x:v>
      </x:c>
    </x:row>
    <x:row r="23" ht="42" customHeight="1">
      <x:c r="A23" s="22" t="n">
        <x:v>9</x:v>
      </x:c>
      <x:c r="B23" s="19" t="str">
        <x:v>The 7 Heroic Spirits</x:v>
      </x:c>
      <x:c r="C23" s="24" t="str">
        <x:f>D23&amp;"/"&amp;E23</x:f>
        <x:v>4/4</x:v>
      </x:c>
      <x:c r="D23" s="22" t="n">
        <x:v>4</x:v>
      </x:c>
      <x:c r="E23" s="22" t="n">
        <x:v>4</x:v>
      </x:c>
      <x:c r="F23" s="24" t="str">
        <x:v>Mythic</x:v>
      </x:c>
      <x:c r="G23" s="24" t="str">
        <x:v>Magic</x:v>
      </x:c>
      <x:c r="H23" s="24" t="str">
        <x:v>Neutral</x:v>
      </x:c>
      <x:c r="I23" s="18" t="str">
        <x:v>Battlecry: All your other minions gain a random Relic</x:v>
      </x:c>
      <x:c r="J23" s="18" t="str">
        <x:v>Legends reborn</x:v>
      </x:c>
      <x:c r="K23" s="18" t="str">
        <x:v>Fate</x:v>
      </x:c>
      <x:c r="L23" s="17" t="str">
        <x:v>c101</x:v>
      </x:c>
    </x:row>
    <x:row r="24" ht="42" customHeight="1">
      <x:c r="A24" s="21" t="n">
        <x:v>8</x:v>
      </x:c>
      <x:c r="B24" s="14" t="str">
        <x:v>Conquest</x:v>
      </x:c>
      <x:c r="C24" s="23" t="str">
        <x:f>D24&amp;"/"&amp;E24</x:f>
        <x:v>6/6</x:v>
      </x:c>
      <x:c r="D24" s="21" t="n">
        <x:v>6</x:v>
      </x:c>
      <x:c r="E24" s="21" t="n">
        <x:v>6</x:v>
      </x:c>
      <x:c r="F24" s="23" t="str">
        <x:v>Epic</x:v>
      </x:c>
      <x:c r="G24" s="23" t="str">
        <x:v>Nature</x:v>
      </x:c>
      <x:c r="H24" s="23" t="str">
        <x:v>Evil</x:v>
      </x:c>
      <x:c r="I24" s="13" t="str">
        <x:v>Ongoing: Gain +2/+2 for each enemy Good minion</x:v>
      </x:c>
      <x:c r="J24" s="13" t="str">
        <x:v>Named after his purpose.</x:v>
      </x:c>
      <x:c r="K24" s="13" t="str">
        <x:v>Invincible</x:v>
      </x:c>
      <x:c r="L24" s="12" t="str">
        <x:v>c024</x:v>
      </x:c>
    </x:row>
    <x:row r="25" ht="44" customHeight="1">
      <x:c r="A25" s="22" t="n">
        <x:v>8</x:v>
      </x:c>
      <x:c r="B25" s="19" t="str">
        <x:v>Doom Slayer</x:v>
      </x:c>
      <x:c r="C25" s="24" t="str">
        <x:f>D25&amp;"/"&amp;E25</x:f>
        <x:v>4/8</x:v>
      </x:c>
      <x:c r="D25" s="22" t="n">
        <x:v>4</x:v>
      </x:c>
      <x:c r="E25" s="22" t="n">
        <x:v>8</x:v>
      </x:c>
      <x:c r="F25" s="24" t="str">
        <x:v>Epic</x:v>
      </x:c>
      <x:c r="G25" s="24" t="str">
        <x:v>Tech</x:v>
      </x:c>
      <x:c r="H25" s="24" t="str">
        <x:v>Good</x:v>
      </x:c>
      <x:c r="I25" s="18" t="str">
        <x:v>Passive: Deal double damage to Evil minions. Whenever Doom Slayer kills an Evil minion, heal him for 3 HP</x:v>
      </x:c>
      <x:c r="J25" s="18" t="str">
        <x:v>He cleaned Hell and came back.</x:v>
      </x:c>
      <x:c r="K25" s="18" t="str">
        <x:v>Doom</x:v>
      </x:c>
      <x:c r="L25" s="17" t="str">
        <x:v>c016</x:v>
      </x:c>
    </x:row>
    <x:row r="26" ht="42" customHeight="1">
      <x:c r="A26" s="21" t="n">
        <x:v>8</x:v>
      </x:c>
      <x:c r="B26" s="14" t="str">
        <x:v>Escanor</x:v>
      </x:c>
      <x:c r="C26" s="23" t="str">
        <x:f>D26&amp;"/"&amp;E26</x:f>
        <x:v>8/4</x:v>
      </x:c>
      <x:c r="D26" s="21" t="n">
        <x:v>8</x:v>
      </x:c>
      <x:c r="E26" s="21" t="n">
        <x:v>4</x:v>
      </x:c>
      <x:c r="F26" s="23" t="str">
        <x:v>Mythic</x:v>
      </x:c>
      <x:c r="G26" s="23" t="str">
        <x:v>Magic</x:v>
      </x:c>
      <x:c r="H26" s="23" t="str">
        <x:v>Good</x:v>
      </x:c>
      <x:c r="I26" s="13" t="str">
        <x:v>Battlecry: Double your other friendly minions attack</x:v>
      </x:c>
      <x:c r="J26" s="13" t="str">
        <x:v>The Sun, incarnated</x:v>
      </x:c>
      <x:c r="K26" s="13" t="str">
        <x:v>Seven Deadly Sins</x:v>
      </x:c>
      <x:c r="L26" s="12" t="str">
        <x:v>c047</x:v>
      </x:c>
    </x:row>
    <x:row r="27" ht="44" customHeight="1">
      <x:c r="A27" s="22" t="n">
        <x:v>8</x:v>
      </x:c>
      <x:c r="B27" s="19" t="str">
        <x:v>Floor Guardians</x:v>
      </x:c>
      <x:c r="C27" s="24" t="str">
        <x:f>D27&amp;"/"&amp;E27</x:f>
        <x:v>6/6</x:v>
      </x:c>
      <x:c r="D27" s="22" t="n">
        <x:v>6</x:v>
      </x:c>
      <x:c r="E27" s="22" t="n">
        <x:v>6</x:v>
      </x:c>
      <x:c r="F27" s="24" t="str">
        <x:v>Epic</x:v>
      </x:c>
      <x:c r="G27" s="24" t="str">
        <x:v>Magic</x:v>
      </x:c>
      <x:c r="H27" s="24" t="str">
        <x:v>Evil</x:v>
      </x:c>
      <x:c r="I27" s="18" t="str">
        <x:v>Battlecry: Choose 1 friendly minion board slot. Minions on that board slot gain +1/+1 at the start of your turn</x:v>
      </x:c>
      <x:c r="J27" s="18" t="str">
        <x:v>They do not guard the floors—they own them</x:v>
      </x:c>
      <x:c r="K27" s="18" t="str">
        <x:v>Overlord</x:v>
      </x:c>
      <x:c r="L27" s="17" t="str">
        <x:v>c083</x:v>
      </x:c>
    </x:row>
    <x:row r="28" ht="42" customHeight="1">
      <x:c r="A28" s="21" t="n">
        <x:v>8</x:v>
      </x:c>
      <x:c r="B28" s="14" t="str">
        <x:v>Gilgamesh</x:v>
      </x:c>
      <x:c r="C28" s="23" t="str">
        <x:f>D28&amp;"/"&amp;E28</x:f>
        <x:v>5/5</x:v>
      </x:c>
      <x:c r="D28" s="21" t="n">
        <x:v>5</x:v>
      </x:c>
      <x:c r="E28" s="21" t="n">
        <x:v>5</x:v>
      </x:c>
      <x:c r="F28" s="23" t="str">
        <x:v>Legendary</x:v>
      </x:c>
      <x:c r="G28" s="23" t="str">
        <x:v>Magic</x:v>
      </x:c>
      <x:c r="H28" s="23" t="str">
        <x:v>Evil</x:v>
      </x:c>
      <x:c r="I28" s="13" t="str">
        <x:v>Battlecry: Equip a random Relic</x:v>
      </x:c>
      <x:c r="J28" s="13" t="str">
        <x:v>Unworthy.</x:v>
      </x:c>
      <x:c r="K28" s="13" t="str">
        <x:v>Fate</x:v>
      </x:c>
      <x:c r="L28" s="12" t="str">
        <x:v>c019</x:v>
      </x:c>
    </x:row>
    <x:row r="29" ht="42" customHeight="1">
      <x:c r="A29" s="22" t="n">
        <x:v>8</x:v>
      </x:c>
      <x:c r="B29" s="19" t="str">
        <x:v>Gol D. Roger</x:v>
      </x:c>
      <x:c r="C29" s="24" t="str">
        <x:f>D29&amp;"/"&amp;E29</x:f>
        <x:v>6/5</x:v>
      </x:c>
      <x:c r="D29" s="22" t="n">
        <x:v>6</x:v>
      </x:c>
      <x:c r="E29" s="22" t="n">
        <x:v>5</x:v>
      </x:c>
      <x:c r="F29" s="24" t="str">
        <x:v>Mythic</x:v>
      </x:c>
      <x:c r="G29" s="24" t="str">
        <x:v>Magic</x:v>
      </x:c>
      <x:c r="H29" s="24" t="str">
        <x:v>Neutral</x:v>
      </x:c>
      <x:c r="I29" s="18" t="str">
        <x:v>Battlecry: Choose 1 of 3 Relics. Add it to your hand</x:v>
      </x:c>
      <x:c r="J29" s="18" t="str">
        <x:v>He has already won.</x:v>
      </x:c>
      <x:c r="K29" s="18" t="str">
        <x:v>One Piece</x:v>
      </x:c>
      <x:c r="L29" s="17" t="str">
        <x:v>c017</x:v>
      </x:c>
    </x:row>
    <x:row r="30" ht="42" customHeight="1">
      <x:c r="A30" s="21" t="n">
        <x:v>8</x:v>
      </x:c>
      <x:c r="B30" s="14" t="str">
        <x:v>Kaido</x:v>
      </x:c>
      <x:c r="C30" s="23" t="str">
        <x:f>D30&amp;"/"&amp;E30</x:f>
        <x:v>5/5</x:v>
      </x:c>
      <x:c r="D30" s="21" t="n">
        <x:v>5</x:v>
      </x:c>
      <x:c r="E30" s="21" t="n">
        <x:v>5</x:v>
      </x:c>
      <x:c r="F30" s="23" t="str">
        <x:v>Legendary</x:v>
      </x:c>
      <x:c r="G30" s="23" t="str">
        <x:v>Nature</x:v>
      </x:c>
      <x:c r="H30" s="23" t="str">
        <x:v>Evil</x:v>
      </x:c>
      <x:c r="I30" s="13" t="str">
        <x:v>Battlecry: Destroy an enemy Taunt minion</x:v>
      </x:c>
      <x:c r="J30" s="13" t="str">
        <x:v>Rules of the seas</x:v>
      </x:c>
      <x:c r="K30" s="13" t="str">
        <x:v>One Piece</x:v>
      </x:c>
      <x:c r="L30" s="12" t="str">
        <x:v>c058</x:v>
      </x:c>
    </x:row>
    <x:row r="31" ht="44" customHeight="1">
      <x:c r="A31" s="22" t="n">
        <x:v>8</x:v>
      </x:c>
      <x:c r="B31" s="19" t="str">
        <x:v>Korosensei</x:v>
      </x:c>
      <x:c r="C31" s="24" t="str">
        <x:f>D31&amp;"/"&amp;E31</x:f>
        <x:v>4/4</x:v>
      </x:c>
      <x:c r="D31" s="22" t="n">
        <x:v>4</x:v>
      </x:c>
      <x:c r="E31" s="22" t="n">
        <x:v>4</x:v>
      </x:c>
      <x:c r="F31" s="24" t="str">
        <x:v>Legendary</x:v>
      </x:c>
      <x:c r="G31" s="24" t="str">
        <x:v>Nature</x:v>
      </x:c>
      <x:c r="H31" s="24" t="str">
        <x:v>Neutral</x:v>
      </x:c>
      <x:c r="I31" s="18" t="str">
        <x:v>Passive: Evade 20% of attacks. Can only be damaged by ATK of 4 and higher</x:v>
      </x:c>
      <x:c r="J31" s="18" t="str">
        <x:v>Mach 20</x:v>
      </x:c>
      <x:c r="K31" s="18" t="str">
        <x:v>Assasination Classroom</x:v>
      </x:c>
      <x:c r="L31" s="17" t="str">
        <x:v>c059</x:v>
      </x:c>
    </x:row>
    <x:row r="32" ht="42" customHeight="1">
      <x:c r="A32" s="21" t="n">
        <x:v>8</x:v>
      </x:c>
      <x:c r="B32" s="14" t="str">
        <x:v>Marshall D. Teach</x:v>
      </x:c>
      <x:c r="C32" s="23" t="str">
        <x:f>D32&amp;"/"&amp;E32</x:f>
        <x:v>5/5</x:v>
      </x:c>
      <x:c r="D32" s="21" t="n">
        <x:v>5</x:v>
      </x:c>
      <x:c r="E32" s="21" t="n">
        <x:v>5</x:v>
      </x:c>
      <x:c r="F32" s="23" t="str">
        <x:v>Epic</x:v>
      </x:c>
      <x:c r="G32" s="23" t="str">
        <x:v>Magic</x:v>
      </x:c>
      <x:c r="H32" s="23" t="str">
        <x:v>Evil</x:v>
      </x:c>
      <x:c r="I32" s="13" t="str">
        <x:v>Ongoing: Copy a passive from 1 friendly and 1 enemy minion</x:v>
      </x:c>
      <x:c r="J32" s="13" t="str">
        <x:v>Steal steal steal.</x:v>
      </x:c>
      <x:c r="K32" s="13" t="str">
        <x:v>One Piece</x:v>
      </x:c>
      <x:c r="L32" s="12" t="str">
        <x:v>c018</x:v>
      </x:c>
    </x:row>
    <x:row r="33" ht="42" customHeight="1">
      <x:c r="A33" s="22" t="n">
        <x:v>8</x:v>
      </x:c>
      <x:c r="B33" s="19" t="str">
        <x:v>Meteor</x:v>
      </x:c>
      <x:c r="C33" s="24" t="str">
        <x:f>D33&amp;"/"&amp;E33</x:f>
        <x:v>4/4</x:v>
      </x:c>
      <x:c r="D33" s="22" t="n">
        <x:v>4</x:v>
      </x:c>
      <x:c r="E33" s="22" t="n">
        <x:v>4</x:v>
      </x:c>
      <x:c r="F33" s="24" t="str">
        <x:v>Rare</x:v>
      </x:c>
      <x:c r="G33" s="24" t="str">
        <x:v>Nature</x:v>
      </x:c>
      <x:c r="H33" s="24" t="str">
        <x:v>Neutral</x:v>
      </x:c>
      <x:c r="I33" s="18" t="str">
        <x:v>Battlecry: Deal 4 damage to all other minions</x:v>
      </x:c>
      <x:c r="J33" s="18" t="str">
        <x:v>It was never going to miss.</x:v>
      </x:c>
      <x:c r="K33" s="18" t="str">
        <x:v>Basic</x:v>
      </x:c>
      <x:c r="L33" s="17" t="str">
        <x:v>c176</x:v>
      </x:c>
    </x:row>
    <x:row r="34" ht="44" customHeight="1">
      <x:c r="A34" s="21" t="n">
        <x:v>8</x:v>
      </x:c>
      <x:c r="B34" s="14" t="str">
        <x:v>Monkey D. Luffy</x:v>
      </x:c>
      <x:c r="C34" s="23" t="str">
        <x:f>D34&amp;"/"&amp;E34</x:f>
        <x:v>6/4</x:v>
      </x:c>
      <x:c r="D34" s="21" t="n">
        <x:v>6</x:v>
      </x:c>
      <x:c r="E34" s="21" t="n">
        <x:v>4</x:v>
      </x:c>
      <x:c r="F34" s="23" t="str">
        <x:v>Mythic</x:v>
      </x:c>
      <x:c r="G34" s="23" t="str">
        <x:v>Magic</x:v>
      </x:c>
      <x:c r="H34" s="23" t="str">
        <x:v>Good</x:v>
      </x:c>
      <x:c r="I34" s="13" t="str">
        <x:v>Battlecry: Free all friendly Chained minions. They may attack immediately and gain Divine Shield</x:v>
      </x:c>
      <x:c r="J34" s="13" t="str">
        <x:v>Reality bends; laughter reigns</x:v>
      </x:c>
      <x:c r="K34" s="13" t="str">
        <x:v>One Piece</x:v>
      </x:c>
      <x:c r="L34" s="12" t="str">
        <x:v>c060</x:v>
      </x:c>
    </x:row>
    <x:row r="35" ht="44" customHeight="1">
      <x:c r="A35" s="22" t="n">
        <x:v>8</x:v>
      </x:c>
      <x:c r="B35" s="19" t="str">
        <x:v>Naruto</x:v>
      </x:c>
      <x:c r="C35" s="24" t="str">
        <x:f>D35&amp;"/"&amp;E35</x:f>
        <x:v>2/2</x:v>
      </x:c>
      <x:c r="D35" s="22" t="n">
        <x:v>2</x:v>
      </x:c>
      <x:c r="E35" s="22" t="n">
        <x:v>2</x:v>
      </x:c>
      <x:c r="F35" s="24" t="str">
        <x:v>Legendary</x:v>
      </x:c>
      <x:c r="G35" s="24" t="str">
        <x:v>Magic</x:v>
      </x:c>
      <x:c r="H35" s="24" t="str">
        <x:v>Good</x:v>
      </x:c>
      <x:c r="I35" s="18" t="str">
        <x:v>Battlecry: Fill your board with 2/2 Shadow Clones in empty friendly slots</x:v>
      </x:c>
      <x:c r="J35" s="18" t="str">
        <x:v>A thousand bodies, one will.</x:v>
      </x:c>
      <x:c r="K35" s="18" t="str">
        <x:v>Naruto</x:v>
      </x:c>
      <x:c r="L35" s="17" t="str">
        <x:v>c183</x:v>
      </x:c>
    </x:row>
    <x:row r="36" ht="44" customHeight="1">
      <x:c r="A36" s="21" t="n">
        <x:v>8</x:v>
      </x:c>
      <x:c r="B36" s="14" t="str">
        <x:v>Neo</x:v>
      </x:c>
      <x:c r="C36" s="23" t="str">
        <x:f>D36&amp;"/"&amp;E36</x:f>
        <x:v>6/6</x:v>
      </x:c>
      <x:c r="D36" s="21" t="n">
        <x:v>6</x:v>
      </x:c>
      <x:c r="E36" s="21" t="n">
        <x:v>6</x:v>
      </x:c>
      <x:c r="F36" s="23" t="str">
        <x:v>Mythic</x:v>
      </x:c>
      <x:c r="G36" s="23" t="str">
        <x:v>Tech</x:v>
      </x:c>
      <x:c r="H36" s="23" t="str">
        <x:v>Good</x:v>
      </x:c>
      <x:c r="I36" s="13" t="str">
        <x:v>Battlecry: Choose a friendly minion board slot. Minions on that slot cannot be Silenced, Frozen, or Chained</x:v>
      </x:c>
      <x:c r="J36" s="13" t="str">
        <x:v>He decided the bullets were harmless.</x:v>
      </x:c>
      <x:c r="K36" s="13" t="str">
        <x:v>Matrix</x:v>
      </x:c>
      <x:c r="L36" s="12" t="str">
        <x:v>c026</x:v>
      </x:c>
    </x:row>
    <x:row r="37" ht="42" customHeight="1">
      <x:c r="A37" s="22" t="n">
        <x:v>8</x:v>
      </x:c>
      <x:c r="B37" s="19" t="str">
        <x:v>S-Class Heroes</x:v>
      </x:c>
      <x:c r="C37" s="24" t="str">
        <x:f>D37&amp;"/"&amp;E37</x:f>
        <x:v>4/7</x:v>
      </x:c>
      <x:c r="D37" s="22" t="n">
        <x:v>4</x:v>
      </x:c>
      <x:c r="E37" s="22" t="n">
        <x:v>7</x:v>
      </x:c>
      <x:c r="F37" s="24" t="str">
        <x:v>Legendary</x:v>
      </x:c>
      <x:c r="G37" s="24" t="str">
        <x:v>ALL</x:v>
      </x:c>
      <x:c r="H37" s="24" t="str">
        <x:v>Good</x:v>
      </x:c>
      <x:c r="I37" s="18" t="str">
        <x:v>Ongoing: Give +2/+2 to all Good minions</x:v>
      </x:c>
      <x:c r="J37" s="18" t="str">
        <x:v>The strongest team</x:v>
      </x:c>
      <x:c r="K37" s="18" t="str">
        <x:v>OPM</x:v>
      </x:c>
      <x:c r="L37" s="17" t="str">
        <x:v>c062</x:v>
      </x:c>
    </x:row>
    <x:row r="38" ht="60" customHeight="1">
      <x:c r="A38" s="21" t="n">
        <x:v>8</x:v>
      </x:c>
      <x:c r="B38" s="14" t="str">
        <x:v>Seven Deadly Sins</x:v>
      </x:c>
      <x:c r="C38" s="23" t="str">
        <x:f>D38&amp;"/"&amp;E38</x:f>
        <x:v>4/5</x:v>
      </x:c>
      <x:c r="D38" s="21" t="n">
        <x:v>4</x:v>
      </x:c>
      <x:c r="E38" s="21" t="n">
        <x:v>5</x:v>
      </x:c>
      <x:c r="F38" s="23" t="str">
        <x:v>Epic</x:v>
      </x:c>
      <x:c r="G38" s="23" t="str">
        <x:v>Magic</x:v>
      </x:c>
      <x:c r="H38" s="23" t="str">
        <x:v>Good</x:v>
      </x:c>
      <x:c r="I38" s="13" t="str">
        <x:v>Battlecry: Fill your empty slots with 1/1 Sin minions. Each enters with a different keyword at random: Taunt, Divine Shield, Charge, Chained</x:v>
      </x:c>
      <x:c r="J38" s="13" t="str">
        <x:v>The Magic Number</x:v>
      </x:c>
      <x:c r="K38" s="13" t="str">
        <x:v>Seven Deadly Sins</x:v>
      </x:c>
      <x:c r="L38" s="12" t="str">
        <x:v>c064</x:v>
      </x:c>
    </x:row>
    <x:row r="39" ht="42" customHeight="1">
      <x:c r="A39" s="22" t="n">
        <x:v>8</x:v>
      </x:c>
      <x:c r="B39" s="19" t="str">
        <x:v>Superman</x:v>
      </x:c>
      <x:c r="C39" s="24" t="str">
        <x:f>D39&amp;"/"&amp;E39</x:f>
        <x:v>6/6</x:v>
      </x:c>
      <x:c r="D39" s="22" t="n">
        <x:v>6</x:v>
      </x:c>
      <x:c r="E39" s="22" t="n">
        <x:v>6</x:v>
      </x:c>
      <x:c r="F39" s="24" t="str">
        <x:v>Legendary</x:v>
      </x:c>
      <x:c r="G39" s="24" t="str">
        <x:v>Nature</x:v>
      </x:c>
      <x:c r="H39" s="24" t="str">
        <x:v>Good</x:v>
      </x:c>
      <x:c r="I39" s="18" t="str">
        <x:v>Passive: Friendly Good minions cannot lose more than 3 HP at once</x:v>
      </x:c>
      <x:c r="J39" s="18" t="str">
        <x:v>The heir's son rises.</x:v>
      </x:c>
      <x:c r="K39" s="18" t="str">
        <x:v>DCU</x:v>
      </x:c>
      <x:c r="L39" s="17" t="str">
        <x:v>c020</x:v>
      </x:c>
    </x:row>
    <x:row r="40" ht="42" customHeight="1">
      <x:c r="A40" s="21" t="n">
        <x:v>8</x:v>
      </x:c>
      <x:c r="B40" s="14" t="str">
        <x:v>Whitebeard</x:v>
      </x:c>
      <x:c r="C40" s="23" t="str">
        <x:f>D40&amp;"/"&amp;E40</x:f>
        <x:v>4/3</x:v>
      </x:c>
      <x:c r="D40" s="21" t="n">
        <x:v>4</x:v>
      </x:c>
      <x:c r="E40" s="21" t="n">
        <x:v>3</x:v>
      </x:c>
      <x:c r="F40" s="23" t="str">
        <x:v>Legendary</x:v>
      </x:c>
      <x:c r="G40" s="23" t="str">
        <x:v>Magic</x:v>
      </x:c>
      <x:c r="H40" s="23" t="str">
        <x:v>Neutral</x:v>
      </x:c>
      <x:c r="I40" s="13" t="str">
        <x:v>Battlecry: Deal 3 damage to all enemy minions</x:v>
      </x:c>
      <x:c r="J40" s="13" t="str">
        <x:v>Split the World in two</x:v>
      </x:c>
      <x:c r="K40" s="13" t="str">
        <x:v>One Piece</x:v>
      </x:c>
      <x:c r="L40" s="12" t="str">
        <x:v>c065</x:v>
      </x:c>
    </x:row>
    <x:row r="41" ht="42" customHeight="1">
      <x:c r="A41" s="22" t="n">
        <x:v>7</x:v>
      </x:c>
      <x:c r="B41" s="19" t="str">
        <x:v>All for One</x:v>
      </x:c>
      <x:c r="C41" s="24" t="str">
        <x:f>D41&amp;"/"&amp;E41</x:f>
        <x:v>4/5</x:v>
      </x:c>
      <x:c r="D41" s="22" t="n">
        <x:v>4</x:v>
      </x:c>
      <x:c r="E41" s="22" t="n">
        <x:v>5</x:v>
      </x:c>
      <x:c r="F41" s="24" t="str">
        <x:v>Mythic</x:v>
      </x:c>
      <x:c r="G41" s="24" t="str">
        <x:v>Magic</x:v>
      </x:c>
      <x:c r="H41" s="24" t="str">
        <x:v>Evil</x:v>
      </x:c>
      <x:c r="I41" s="18" t="str">
        <x:v>Passive: Copy and enact the Passive of every enemy minion</x:v>
      </x:c>
      <x:c r="J41" s="18" t="str">
        <x:v>A Collector</x:v>
      </x:c>
      <x:c r="K41" s="18" t="str">
        <x:v>MHA</x:v>
      </x:c>
      <x:c r="L41" s="17" t="str">
        <x:v>c071</x:v>
      </x:c>
    </x:row>
    <x:row r="42" ht="42" customHeight="1">
      <x:c r="A42" s="21" t="n">
        <x:v>7</x:v>
      </x:c>
      <x:c r="B42" s="14" t="str">
        <x:v>All Might</x:v>
      </x:c>
      <x:c r="C42" s="23" t="str">
        <x:f>D42&amp;"/"&amp;E42</x:f>
        <x:v>4/5</x:v>
      </x:c>
      <x:c r="D42" s="21" t="n">
        <x:v>4</x:v>
      </x:c>
      <x:c r="E42" s="21" t="n">
        <x:v>5</x:v>
      </x:c>
      <x:c r="F42" s="23" t="str">
        <x:v>Legendary</x:v>
      </x:c>
      <x:c r="G42" s="23" t="str">
        <x:v>Magic</x:v>
      </x:c>
      <x:c r="H42" s="23" t="str">
        <x:v>Good</x:v>
      </x:c>
      <x:c r="I42" s="13" t="str">
        <x:v>Passive: While on the board, every enemy minion has -2 ATK</x:v>
      </x:c>
      <x:c r="J42" s="13" t="str">
        <x:v>Number One</x:v>
      </x:c>
      <x:c r="K42" s="13" t="str">
        <x:v>MHA</x:v>
      </x:c>
      <x:c r="L42" s="12" t="str">
        <x:v>c073</x:v>
      </x:c>
    </x:row>
    <x:row r="43" ht="42" customHeight="1">
      <x:c r="A43" s="22" t="n">
        <x:v>7</x:v>
      </x:c>
      <x:c r="B43" s="19" t="str">
        <x:v>Avengers</x:v>
      </x:c>
      <x:c r="C43" s="24" t="str">
        <x:f>D43&amp;"/"&amp;E43</x:f>
        <x:v>4/4</x:v>
      </x:c>
      <x:c r="D43" s="22" t="n">
        <x:v>4</x:v>
      </x:c>
      <x:c r="E43" s="22" t="n">
        <x:v>4</x:v>
      </x:c>
      <x:c r="F43" s="24" t="str">
        <x:v>Legendary</x:v>
      </x:c>
      <x:c r="G43" s="24" t="str">
        <x:v>ALL</x:v>
      </x:c>
      <x:c r="H43" s="24" t="str">
        <x:v>Good</x:v>
      </x:c>
      <x:c r="I43" s="18" t="str">
        <x:v>Passive: Invulnerable as long as you control another Good minion</x:v>
      </x:c>
      <x:c r="J43" s="18" t="str">
        <x:v>When the board breaks, they assemble.</x:v>
      </x:c>
      <x:c r="K43" s="18" t="str">
        <x:v>MCU</x:v>
      </x:c>
      <x:c r="L43" s="17" t="str">
        <x:v>c015</x:v>
      </x:c>
    </x:row>
    <x:row r="44" ht="44" customHeight="1">
      <x:c r="A44" s="21" t="n">
        <x:v>7</x:v>
      </x:c>
      <x:c r="B44" s="14" t="str">
        <x:v>Big Mom</x:v>
      </x:c>
      <x:c r="C44" s="23" t="str">
        <x:f>D44&amp;"/"&amp;E44</x:f>
        <x:v>6/6</x:v>
      </x:c>
      <x:c r="D44" s="21" t="n">
        <x:v>6</x:v>
      </x:c>
      <x:c r="E44" s="21" t="n">
        <x:v>6</x:v>
      </x:c>
      <x:c r="F44" s="23" t="str">
        <x:v>Epic</x:v>
      </x:c>
      <x:c r="G44" s="23" t="str">
        <x:v>Magic</x:v>
      </x:c>
      <x:c r="H44" s="23" t="str">
        <x:v>Evil</x:v>
      </x:c>
      <x:c r="I44" s="13" t="str">
        <x:v>Battlecry: Destroy a friendly minion. Gain its ATK and HP, in addition to your own</x:v>
      </x:c>
      <x:c r="J44" s="13" t="str">
        <x:v>Greed</x:v>
      </x:c>
      <x:c r="K44" s="13" t="str">
        <x:v>One Piece</x:v>
      </x:c>
      <x:c r="L44" s="12" t="str">
        <x:v>c098</x:v>
      </x:c>
    </x:row>
    <x:row r="45" ht="44" customHeight="1">
      <x:c r="A45" s="22" t="n">
        <x:v>7</x:v>
      </x:c>
      <x:c r="B45" s="19" t="str">
        <x:v>Doctor Strange</x:v>
      </x:c>
      <x:c r="C45" s="24" t="str">
        <x:f>D45&amp;"/"&amp;E45</x:f>
        <x:v>3/3</x:v>
      </x:c>
      <x:c r="D45" s="22" t="n">
        <x:v>3</x:v>
      </x:c>
      <x:c r="E45" s="22" t="n">
        <x:v>3</x:v>
      </x:c>
      <x:c r="F45" s="24" t="str">
        <x:v>Legendary</x:v>
      </x:c>
      <x:c r="G45" s="24" t="str">
        <x:v>Magic</x:v>
      </x:c>
      <x:c r="H45" s="24" t="str">
        <x:v>Good</x:v>
      </x:c>
      <x:c r="I45" s="18" t="str">
        <x:v>Battlecry: Offer a bargain. Your opponent chooses: lose 10 Core HP, lose a random minion, or lose 5 mana next turn</x:v>
      </x:c>
      <x:c r="J45" s="18" t="str">
        <x:v>Magic trumps everything.</x:v>
      </x:c>
      <x:c r="K45" s="18" t="str">
        <x:v>MCU</x:v>
      </x:c>
      <x:c r="L45" s="17" t="str">
        <x:v>c013</x:v>
      </x:c>
    </x:row>
    <x:row r="46" ht="42" customHeight="1">
      <x:c r="A46" s="21" t="n">
        <x:v>7</x:v>
      </x:c>
      <x:c r="B46" s="14" t="str">
        <x:v>Elder Centipede</x:v>
      </x:c>
      <x:c r="C46" s="23" t="str">
        <x:f>D46&amp;"/"&amp;E46</x:f>
        <x:v>5/6</x:v>
      </x:c>
      <x:c r="D46" s="21" t="n">
        <x:v>5</x:v>
      </x:c>
      <x:c r="E46" s="21" t="n">
        <x:v>6</x:v>
      </x:c>
      <x:c r="F46" s="23" t="str">
        <x:v>Rare</x:v>
      </x:c>
      <x:c r="G46" s="23" t="str">
        <x:v>Nature</x:v>
      </x:c>
      <x:c r="H46" s="23" t="str">
        <x:v>Evil</x:v>
      </x:c>
      <x:c r="I46" s="13" t="str">
        <x:v>Ongoing: Gain +2/+2</x:v>
      </x:c>
      <x:c r="J46" s="13" t="str">
        <x:v>Billion year old</x:v>
      </x:c>
      <x:c r="K46" s="13" t="str">
        <x:v>OPM</x:v>
      </x:c>
      <x:c r="L46" s="12" t="str">
        <x:v>c066</x:v>
      </x:c>
    </x:row>
    <x:row r="47" ht="44" customHeight="1">
      <x:c r="A47" s="22" t="n">
        <x:v>7</x:v>
      </x:c>
      <x:c r="B47" s="19" t="str">
        <x:v>G-Man</x:v>
      </x:c>
      <x:c r="C47" s="24" t="str">
        <x:f>D47&amp;"/"&amp;E47</x:f>
        <x:v>3/6</x:v>
      </x:c>
      <x:c r="D47" s="22" t="n">
        <x:v>3</x:v>
      </x:c>
      <x:c r="E47" s="22" t="n">
        <x:v>6</x:v>
      </x:c>
      <x:c r="F47" s="24" t="str">
        <x:v>Epic</x:v>
      </x:c>
      <x:c r="G47" s="24" t="str">
        <x:v>Tech</x:v>
      </x:c>
      <x:c r="H47" s="24" t="str">
        <x:v>Neutral</x:v>
      </x:c>
      <x:c r="I47" s="18" t="str">
        <x:v>Battlecry: Put an enemy minion into stasis - remove it from the board for 2 turns</x:v>
      </x:c>
      <x:c r="J47" s="18" t="str">
        <x:v>Time, Mr. Freeman.</x:v>
      </x:c>
      <x:c r="K47" s="18" t="str">
        <x:v>Half-Life</x:v>
      </x:c>
      <x:c r="L47" s="17" t="str">
        <x:v>c012</x:v>
      </x:c>
    </x:row>
    <x:row r="48" ht="42" customHeight="1">
      <x:c r="A48" s="21" t="n">
        <x:v>7</x:v>
      </x:c>
      <x:c r="B48" s="14" t="str">
        <x:v>Genie</x:v>
      </x:c>
      <x:c r="C48" s="23" t="str">
        <x:f>D48&amp;"/"&amp;E48</x:f>
        <x:v>5/4</x:v>
      </x:c>
      <x:c r="D48" s="21" t="n">
        <x:v>5</x:v>
      </x:c>
      <x:c r="E48" s="21" t="n">
        <x:v>4</x:v>
      </x:c>
      <x:c r="F48" s="23" t="str">
        <x:v>Epic</x:v>
      </x:c>
      <x:c r="G48" s="23" t="str">
        <x:v>Magic</x:v>
      </x:c>
      <x:c r="H48" s="23" t="str">
        <x:v>Neutral</x:v>
      </x:c>
      <x:c r="I48" s="13" t="str">
        <x:v>Battlecry: Make a wish</x:v>
      </x:c>
      <x:c r="J48" s="13" t="str">
        <x:v>What does thy wish</x:v>
      </x:c>
      <x:c r="K48" s="13" t="str">
        <x:v>Aladdin</x:v>
      </x:c>
      <x:c r="L48" s="12" t="str">
        <x:v>c072</x:v>
      </x:c>
    </x:row>
    <x:row r="49" ht="44" customHeight="1">
      <x:c r="A49" s="22" t="n">
        <x:v>7</x:v>
      </x:c>
      <x:c r="B49" s="19" t="str">
        <x:v>Godzilla</x:v>
      </x:c>
      <x:c r="C49" s="24" t="str">
        <x:f>D49&amp;"/"&amp;E49</x:f>
        <x:v>4/5</x:v>
      </x:c>
      <x:c r="D49" s="22" t="n">
        <x:v>4</x:v>
      </x:c>
      <x:c r="E49" s="22" t="n">
        <x:v>5</x:v>
      </x:c>
      <x:c r="F49" s="24" t="str">
        <x:v>Epic</x:v>
      </x:c>
      <x:c r="G49" s="24" t="str">
        <x:v>Nature</x:v>
      </x:c>
      <x:c r="H49" s="24" t="str">
        <x:v>Neutral</x:v>
      </x:c>
      <x:c r="I49" s="18" t="str">
        <x:v>Passive: Deal 2 damage to all enemy minions each time you take damage</x:v>
      </x:c>
      <x:c r="J49" s="18" t="str">
        <x:v>Laser breathing</x:v>
      </x:c>
      <x:c r="K49" s="18" t="str">
        <x:v>Godzilla</x:v>
      </x:c>
      <x:c r="L49" s="17" t="str">
        <x:v>c076</x:v>
      </x:c>
    </x:row>
    <x:row r="50" ht="44" customHeight="1">
      <x:c r="A50" s="21" t="n">
        <x:v>7</x:v>
      </x:c>
      <x:c r="B50" s="14" t="str">
        <x:v>Grand Master Yoda</x:v>
      </x:c>
      <x:c r="C50" s="23" t="str">
        <x:f>D50&amp;"/"&amp;E50</x:f>
        <x:v>5/5</x:v>
      </x:c>
      <x:c r="D50" s="21" t="n">
        <x:v>5</x:v>
      </x:c>
      <x:c r="E50" s="21" t="n">
        <x:v>5</x:v>
      </x:c>
      <x:c r="F50" s="23" t="str">
        <x:v>Epic</x:v>
      </x:c>
      <x:c r="G50" s="23" t="str">
        <x:v>Magic</x:v>
      </x:c>
      <x:c r="H50" s="23" t="str">
        <x:v>Good</x:v>
      </x:c>
      <x:c r="I50" s="13" t="str">
        <x:v>Cannot attack. Ongoing: Your lowest-ATK friendly minion gains +2/+2</x:v>
      </x:c>
      <x:c r="J50" s="13" t="str">
        <x:v>Nine centuries of learning</x:v>
      </x:c>
      <x:c r="K50" s="13" t="str">
        <x:v>Star Wars</x:v>
      </x:c>
      <x:c r="L50" s="12" t="str">
        <x:v>c074</x:v>
      </x:c>
    </x:row>
    <x:row r="51" ht="42" customHeight="1">
      <x:c r="A51" s="22" t="n">
        <x:v>7</x:v>
      </x:c>
      <x:c r="B51" s="19" t="str">
        <x:v>Isaac Netero</x:v>
      </x:c>
      <x:c r="C51" s="24" t="str">
        <x:f>D51&amp;"/"&amp;E51</x:f>
        <x:v>4/4</x:v>
      </x:c>
      <x:c r="D51" s="22" t="n">
        <x:v>4</x:v>
      </x:c>
      <x:c r="E51" s="22" t="n">
        <x:v>4</x:v>
      </x:c>
      <x:c r="F51" s="24" t="str">
        <x:v>Mythic</x:v>
      </x:c>
      <x:c r="G51" s="24" t="str">
        <x:v>Magic</x:v>
      </x:c>
      <x:c r="H51" s="24" t="str">
        <x:v>Good</x:v>
      </x:c>
      <x:c r="I51" s="18" t="str">
        <x:v>Divine Shield. Deathrattle: Deal 3 damage to all enemy minions</x:v>
      </x:c>
      <x:c r="J51" s="18" t="str">
        <x:v>Each prayer strikes harder than any fist</x:v>
      </x:c>
      <x:c r="K51" s="18" t="str">
        <x:v>HxH</x:v>
      </x:c>
      <x:c r="L51" s="17" t="str">
        <x:v>c069</x:v>
      </x:c>
    </x:row>
    <x:row r="52" ht="42" customHeight="1">
      <x:c r="A52" s="21" t="n">
        <x:v>7</x:v>
      </x:c>
      <x:c r="B52" s="14" t="str">
        <x:v>Kizaru</x:v>
      </x:c>
      <x:c r="C52" s="23" t="str">
        <x:f>D52&amp;"/"&amp;E52</x:f>
        <x:v>4/4</x:v>
      </x:c>
      <x:c r="D52" s="21" t="n">
        <x:v>4</x:v>
      </x:c>
      <x:c r="E52" s="21" t="n">
        <x:v>4</x:v>
      </x:c>
      <x:c r="F52" s="23" t="str">
        <x:v>Legendary</x:v>
      </x:c>
      <x:c r="G52" s="23" t="str">
        <x:v>Magic</x:v>
      </x:c>
      <x:c r="H52" s="23" t="str">
        <x:v>Neutral</x:v>
      </x:c>
      <x:c r="I52" s="13" t="str">
        <x:v>Divine Shield. Ongoing: Gain Divine Shield</x:v>
      </x:c>
      <x:c r="J52" s="13" t="str">
        <x:v>Light logic.</x:v>
      </x:c>
      <x:c r="K52" s="13" t="str">
        <x:v>One Piece</x:v>
      </x:c>
      <x:c r="L52" s="12" t="str">
        <x:v>c014</x:v>
      </x:c>
    </x:row>
    <x:row r="53" ht="42" customHeight="1">
      <x:c r="A53" s="22" t="n">
        <x:v>7</x:v>
      </x:c>
      <x:c r="B53" s="19" t="str">
        <x:v>Lelouch Lamperouge</x:v>
      </x:c>
      <x:c r="C53" s="24" t="str">
        <x:f>D53&amp;"/"&amp;E53</x:f>
        <x:v>1/1</x:v>
      </x:c>
      <x:c r="D53" s="22" t="n">
        <x:v>1</x:v>
      </x:c>
      <x:c r="E53" s="22" t="n">
        <x:v>1</x:v>
      </x:c>
      <x:c r="F53" s="24" t="str">
        <x:v>Mythic</x:v>
      </x:c>
      <x:c r="G53" s="24" t="str">
        <x:v>Magic</x:v>
      </x:c>
      <x:c r="H53" s="24" t="str">
        <x:v>Neutral</x:v>
      </x:c>
      <x:c r="I53" s="18" t="str">
        <x:v>Battlecry: Gain control of an enemy minion</x:v>
      </x:c>
      <x:c r="J53" s="18" t="str">
        <x:v>Obey</x:v>
      </x:c>
      <x:c r="K53" s="18" t="str">
        <x:v>Code Geass</x:v>
      </x:c>
      <x:c r="L53" s="17" t="str">
        <x:v>c048</x:v>
      </x:c>
    </x:row>
    <x:row r="54" ht="44" customHeight="1">
      <x:c r="A54" s="21" t="n">
        <x:v>7</x:v>
      </x:c>
      <x:c r="B54" s="14" t="str">
        <x:v>Meruem</x:v>
      </x:c>
      <x:c r="C54" s="23" t="str">
        <x:f>D54&amp;"/"&amp;E54</x:f>
        <x:v>4/6</x:v>
      </x:c>
      <x:c r="D54" s="21" t="n">
        <x:v>4</x:v>
      </x:c>
      <x:c r="E54" s="21" t="n">
        <x:v>6</x:v>
      </x:c>
      <x:c r="F54" s="23" t="str">
        <x:v>Mythic</x:v>
      </x:c>
      <x:c r="G54" s="23" t="str">
        <x:v>Nature</x:v>
      </x:c>
      <x:c r="H54" s="23" t="str">
        <x:v>Neutral</x:v>
      </x:c>
      <x:c r="I54" s="13" t="str">
        <x:v>Passive: Whenever Meruem kills a minion, gain +1/+1 and gain its effects</x:v>
      </x:c>
      <x:c r="J54" s="13" t="str">
        <x:v>Loyalty</x:v>
      </x:c>
      <x:c r="K54" s="13" t="str">
        <x:v>HxH</x:v>
      </x:c>
      <x:c r="L54" s="12" t="str">
        <x:v>c084</x:v>
      </x:c>
    </x:row>
    <x:row r="55" ht="42" customHeight="1">
      <x:c r="A55" s="22" t="n">
        <x:v>7</x:v>
      </x:c>
      <x:c r="B55" s="19" t="str">
        <x:v>Planetary Defense Grid</x:v>
      </x:c>
      <x:c r="C55" s="24" t="str">
        <x:f>D55&amp;"/"&amp;E55</x:f>
        <x:v>3/7</x:v>
      </x:c>
      <x:c r="D55" s="22" t="n">
        <x:v>3</x:v>
      </x:c>
      <x:c r="E55" s="22" t="n">
        <x:v>7</x:v>
      </x:c>
      <x:c r="F55" s="24" t="str">
        <x:v>Rare</x:v>
      </x:c>
      <x:c r="G55" s="24" t="str">
        <x:v>Tech</x:v>
      </x:c>
      <x:c r="H55" s="24" t="str">
        <x:v>Neutral</x:v>
      </x:c>
      <x:c r="I55" s="18" t="str">
        <x:v>Taunt. Passive: All other friendly Taunt minions have +2/+2</x:v>
      </x:c>
      <x:c r="J55" s="18" t="str">
        <x:v>The shield watches from orbit.</x:v>
      </x:c>
      <x:c r="K55" s="18" t="str">
        <x:v>Basic</x:v>
      </x:c>
      <x:c r="L55" s="17" t="str">
        <x:v>c177</x:v>
      </x:c>
    </x:row>
    <x:row r="56" ht="42" customHeight="1">
      <x:c r="A56" s="21" t="n">
        <x:v>7</x:v>
      </x:c>
      <x:c r="B56" s="14" t="str">
        <x:v>Silver Surfer</x:v>
      </x:c>
      <x:c r="C56" s="23" t="str">
        <x:f>D56&amp;"/"&amp;E56</x:f>
        <x:v>1/1</x:v>
      </x:c>
      <x:c r="D56" s="21" t="n">
        <x:v>1</x:v>
      </x:c>
      <x:c r="E56" s="21" t="n">
        <x:v>1</x:v>
      </x:c>
      <x:c r="F56" s="23" t="str">
        <x:v>Epic</x:v>
      </x:c>
      <x:c r="G56" s="23" t="str">
        <x:v>Magic</x:v>
      </x:c>
      <x:c r="H56" s="23" t="str">
        <x:v>Neutral</x:v>
      </x:c>
      <x:c r="I56" s="13" t="str">
        <x:v>Deathrattle: Summon Galactus (8/8)</x:v>
      </x:c>
      <x:c r="J56" s="13" t="str">
        <x:v>The tide brings worlds.</x:v>
      </x:c>
      <x:c r="K56" s="13" t="str">
        <x:v>MCU</x:v>
      </x:c>
      <x:c r="L56" s="12" t="str">
        <x:v>c032</x:v>
      </x:c>
    </x:row>
    <x:row r="57" ht="42" customHeight="1">
      <x:c r="A57" s="22" t="n">
        <x:v>7</x:v>
      </x:c>
      <x:c r="B57" s="19" t="str">
        <x:v>Star Destroyer</x:v>
      </x:c>
      <x:c r="C57" s="24" t="str">
        <x:f>D57&amp;"/"&amp;E57</x:f>
        <x:v>5/5</x:v>
      </x:c>
      <x:c r="D57" s="22" t="n">
        <x:v>5</x:v>
      </x:c>
      <x:c r="E57" s="22" t="n">
        <x:v>5</x:v>
      </x:c>
      <x:c r="F57" s="24" t="str">
        <x:v>Rare</x:v>
      </x:c>
      <x:c r="G57" s="24" t="str">
        <x:v>Tech</x:v>
      </x:c>
      <x:c r="H57" s="24" t="str">
        <x:v>Neutral</x:v>
      </x:c>
      <x:c r="I57" s="18" t="str">
        <x:v>Battlecry: Summon two 1/1 TIE Fighters with Charge</x:v>
      </x:c>
      <x:c r="J57" s="18" t="str">
        <x:v>-</x:v>
      </x:c>
      <x:c r="K57" s="18" t="str">
        <x:v>Star Wars</x:v>
      </x:c>
      <x:c r="L57" s="17" t="str">
        <x:v>c068</x:v>
      </x:c>
    </x:row>
    <x:row r="58" ht="44" customHeight="1">
      <x:c r="A58" s="21" t="n">
        <x:v>7</x:v>
      </x:c>
      <x:c r="B58" s="14" t="str">
        <x:v>Ultron Prime</x:v>
      </x:c>
      <x:c r="C58" s="23" t="str">
        <x:f>D58&amp;"/"&amp;E58</x:f>
        <x:v>5/3</x:v>
      </x:c>
      <x:c r="D58" s="21" t="n">
        <x:v>5</x:v>
      </x:c>
      <x:c r="E58" s="21" t="n">
        <x:v>3</x:v>
      </x:c>
      <x:c r="F58" s="23" t="str">
        <x:v>Rare</x:v>
      </x:c>
      <x:c r="G58" s="23" t="str">
        <x:v>Tech</x:v>
      </x:c>
      <x:c r="H58" s="23" t="str">
        <x:v>Evil</x:v>
      </x:c>
      <x:c r="I58" s="13" t="str">
        <x:v>Taunt. Deathrattle: Summon Vision (5/3) with Taunt</x:v>
      </x:c>
      <x:c r="J58" s="13" t="str">
        <x:v>He decided the most efficient protection was elimination</x:v>
      </x:c>
      <x:c r="K58" s="13" t="str">
        <x:v>MCU</x:v>
      </x:c>
      <x:c r="L58" s="12" t="str">
        <x:v>c075</x:v>
      </x:c>
    </x:row>
    <x:row r="59" ht="42" customHeight="1">
      <x:c r="A59" s="22" t="n">
        <x:v>7</x:v>
      </x:c>
      <x:c r="B59" s="19" t="str">
        <x:v>Vergil &amp; Dante &amp; Nero</x:v>
      </x:c>
      <x:c r="C59" s="24" t="str">
        <x:f>D59&amp;"/"&amp;E59</x:f>
        <x:v>3/5</x:v>
      </x:c>
      <x:c r="D59" s="22" t="n">
        <x:v>3</x:v>
      </x:c>
      <x:c r="E59" s="22" t="n">
        <x:v>5</x:v>
      </x:c>
      <x:c r="F59" s="24" t="str">
        <x:v>Legendary</x:v>
      </x:c>
      <x:c r="G59" s="24" t="str">
        <x:v>Magic</x:v>
      </x:c>
      <x:c r="H59" s="24" t="str">
        <x:v>Neutral</x:v>
      </x:c>
      <x:c r="I59" s="18" t="str">
        <x:v>Passive: This minion can attack 2 times per turn</x:v>
      </x:c>
      <x:c r="J59" s="18" t="str">
        <x:v>Infinite potential</x:v>
      </x:c>
      <x:c r="K59" s="18" t="str">
        <x:v>Devil May Cry</x:v>
      </x:c>
      <x:c r="L59" s="17" t="str">
        <x:v>c070</x:v>
      </x:c>
    </x:row>
    <x:row r="60" ht="44" customHeight="1">
      <x:c r="A60" s="21" t="n">
        <x:v>6</x:v>
      </x:c>
      <x:c r="B60" s="14" t="str">
        <x:v>Avatar Aang</x:v>
      </x:c>
      <x:c r="C60" s="23" t="str">
        <x:f>D60&amp;"/"&amp;E60</x:f>
        <x:v>2/3</x:v>
      </x:c>
      <x:c r="D60" s="21" t="n">
        <x:v>2</x:v>
      </x:c>
      <x:c r="E60" s="21" t="n">
        <x:v>3</x:v>
      </x:c>
      <x:c r="F60" s="23" t="str">
        <x:v>Mythic</x:v>
      </x:c>
      <x:c r="G60" s="23" t="str">
        <x:v>Magic</x:v>
      </x:c>
      <x:c r="H60" s="23" t="str">
        <x:v>Good</x:v>
      </x:c>
      <x:c r="I60" s="13" t="str">
        <x:v>Battlecry: Restore all friendly minions to full health. Deathrattle: Summon the Awakened (6/3)</x:v>
      </x:c>
      <x:c r="J60" s="13" t="str">
        <x:v>The last airbender gathers the table.</x:v>
      </x:c>
      <x:c r="K60" s="13" t="str">
        <x:v>Avatar</x:v>
      </x:c>
      <x:c r="L60" s="12" t="str">
        <x:v>c010</x:v>
      </x:c>
    </x:row>
    <x:row r="61" ht="42" customHeight="1">
      <x:c r="A61" s="22" t="n">
        <x:v>6</x:v>
      </x:c>
      <x:c r="B61" s="19" t="str">
        <x:v>Cthulhu</x:v>
      </x:c>
      <x:c r="C61" s="24" t="str">
        <x:f>D61&amp;"/"&amp;E61</x:f>
        <x:v>6/6</x:v>
      </x:c>
      <x:c r="D61" s="22" t="n">
        <x:v>6</x:v>
      </x:c>
      <x:c r="E61" s="22" t="n">
        <x:v>6</x:v>
      </x:c>
      <x:c r="F61" s="24" t="str">
        <x:v>Rare</x:v>
      </x:c>
      <x:c r="G61" s="24" t="str">
        <x:v>Magic</x:v>
      </x:c>
      <x:c r="H61" s="24" t="str">
        <x:v>Neutral</x:v>
      </x:c>
      <x:c r="I61" s="18" t="str">
        <x:v>Chained. Passive: Immune to Tech minions</x:v>
      </x:c>
      <x:c r="J61" s="18" t="str">
        <x:v>He dreams</x:v>
      </x:c>
      <x:c r="K61" s="18" t="str">
        <x:v>Myth</x:v>
      </x:c>
      <x:c r="L61" s="17" t="str">
        <x:v>c136</x:v>
      </x:c>
    </x:row>
    <x:row r="62" ht="42" customHeight="1">
      <x:c r="A62" s="21" t="n">
        <x:v>6</x:v>
      </x:c>
      <x:c r="B62" s="14" t="str">
        <x:v>Elden Beast</x:v>
      </x:c>
      <x:c r="C62" s="23" t="str">
        <x:f>D62&amp;"/"&amp;E62</x:f>
        <x:v>4/4</x:v>
      </x:c>
      <x:c r="D62" s="21" t="n">
        <x:v>4</x:v>
      </x:c>
      <x:c r="E62" s="21" t="n">
        <x:v>4</x:v>
      </x:c>
      <x:c r="F62" s="23" t="str">
        <x:v>Legendary</x:v>
      </x:c>
      <x:c r="G62" s="23" t="str">
        <x:v>Magic</x:v>
      </x:c>
      <x:c r="H62" s="23" t="str">
        <x:v>Neutral</x:v>
      </x:c>
      <x:c r="I62" s="13" t="str">
        <x:v>Passive: All friendly Neutral or Magic minions have +2 ATK</x:v>
      </x:c>
      <x:c r="J62" s="13" t="str">
        <x:v>Legends carved into the Lands Between</x:v>
      </x:c>
      <x:c r="K62" s="13" t="str">
        <x:v>Elden Ring</x:v>
      </x:c>
      <x:c r="L62" s="12" t="str">
        <x:v>c097</x:v>
      </x:c>
    </x:row>
    <x:row r="63" ht="42" customHeight="1">
      <x:c r="A63" s="22" t="n">
        <x:v>6</x:v>
      </x:c>
      <x:c r="B63" s="19" t="str">
        <x:v>Founding Titan</x:v>
      </x:c>
      <x:c r="C63" s="24" t="str">
        <x:f>D63&amp;"/"&amp;E63</x:f>
        <x:v>4/5</x:v>
      </x:c>
      <x:c r="D63" s="22" t="n">
        <x:v>4</x:v>
      </x:c>
      <x:c r="E63" s="22" t="n">
        <x:v>5</x:v>
      </x:c>
      <x:c r="F63" s="24" t="str">
        <x:v>Rare</x:v>
      </x:c>
      <x:c r="G63" s="24" t="str">
        <x:v>Nature</x:v>
      </x:c>
      <x:c r="H63" s="24" t="str">
        <x:v>Evil</x:v>
      </x:c>
      <x:c r="I63" s="18" t="str">
        <x:v>Taunt. Passive: All friendly minions have Taunt</x:v>
      </x:c>
      <x:c r="J63" s="18" t="str">
        <x:v>The walls were never meant to protect</x:v>
      </x:c>
      <x:c r="K63" s="18" t="str">
        <x:v>Attack on Titan</x:v>
      </x:c>
      <x:c r="L63" s="17" t="str">
        <x:v>c087</x:v>
      </x:c>
    </x:row>
    <x:row r="64" ht="42" customHeight="1">
      <x:c r="A64" s="21" t="n">
        <x:v>6</x:v>
      </x:c>
      <x:c r="B64" s="14" t="str">
        <x:v>Frieren</x:v>
      </x:c>
      <x:c r="C64" s="23" t="str">
        <x:f>D64&amp;"/"&amp;E64</x:f>
        <x:v>2/6</x:v>
      </x:c>
      <x:c r="D64" s="21" t="n">
        <x:v>2</x:v>
      </x:c>
      <x:c r="E64" s="21" t="n">
        <x:v>6</x:v>
      </x:c>
      <x:c r="F64" s="23" t="str">
        <x:v>Legendary</x:v>
      </x:c>
      <x:c r="G64" s="23" t="str">
        <x:v>Magic</x:v>
      </x:c>
      <x:c r="H64" s="23" t="str">
        <x:v>Good</x:v>
      </x:c>
      <x:c r="I64" s="13" t="str">
        <x:v>Passive: Whenever you cast a relic, discover another relic</x:v>
      </x:c>
      <x:c r="J64" s="13" t="str">
        <x:v>Every spell is worth remembering.</x:v>
      </x:c>
      <x:c r="K64" s="13" t="str">
        <x:v>Frieren: Beyond Journey's End</x:v>
      </x:c>
      <x:c r="L64" s="12" t="str">
        <x:v>c184</x:v>
      </x:c>
    </x:row>
    <x:row r="65" ht="44" customHeight="1">
      <x:c r="A65" s="22" t="n">
        <x:v>6</x:v>
      </x:c>
      <x:c r="B65" s="19" t="str">
        <x:v>Gandalf the White</x:v>
      </x:c>
      <x:c r="C65" s="24" t="str">
        <x:f>D65&amp;"/"&amp;E65</x:f>
        <x:v>2/2</x:v>
      </x:c>
      <x:c r="D65" s="22" t="n">
        <x:v>2</x:v>
      </x:c>
      <x:c r="E65" s="22" t="n">
        <x:v>2</x:v>
      </x:c>
      <x:c r="F65" s="24" t="str">
        <x:v>Legendary</x:v>
      </x:c>
      <x:c r="G65" s="24" t="str">
        <x:v>Magic</x:v>
      </x:c>
      <x:c r="H65" s="24" t="str">
        <x:v>Good</x:v>
      </x:c>
      <x:c r="I65" s="18" t="str">
        <x:v>Divine Shield. Battlecry: Give all friendly Good minions Divine Shield</x:v>
      </x:c>
      <x:c r="J65" s="18" t="str">
        <x:v>An incarnated angel</x:v>
      </x:c>
      <x:c r="K65" s="18" t="str">
        <x:v>Lord of the Rings</x:v>
      </x:c>
      <x:c r="L65" s="17" t="str">
        <x:v>c080</x:v>
      </x:c>
    </x:row>
    <x:row r="66" ht="44" customHeight="1">
      <x:c r="A66" s="21" t="n">
        <x:v>6</x:v>
      </x:c>
      <x:c r="B66" s="14" t="str">
        <x:v>Homelander</x:v>
      </x:c>
      <x:c r="C66" s="23" t="str">
        <x:f>D66&amp;"/"&amp;E66</x:f>
        <x:v>4/4</x:v>
      </x:c>
      <x:c r="D66" s="21" t="n">
        <x:v>4</x:v>
      </x:c>
      <x:c r="E66" s="21" t="n">
        <x:v>4</x:v>
      </x:c>
      <x:c r="F66" s="23" t="str">
        <x:v>Epic</x:v>
      </x:c>
      <x:c r="G66" s="23" t="str">
        <x:v>Nature</x:v>
      </x:c>
      <x:c r="H66" s="23" t="str">
        <x:v>Evil</x:v>
      </x:c>
      <x:c r="I66" s="13" t="str">
        <x:v>Passive: This minion is Invulnerable if it is your only minion on the board</x:v>
      </x:c>
      <x:c r="J66" s="13" t="str">
        <x:v>Central casting</x:v>
      </x:c>
      <x:c r="K66" s="13" t="str">
        <x:v>The Boys</x:v>
      </x:c>
      <x:c r="L66" s="12" t="str">
        <x:v>c088</x:v>
      </x:c>
    </x:row>
    <x:row r="67" ht="42" customHeight="1">
      <x:c r="A67" s="22" t="n">
        <x:v>6</x:v>
      </x:c>
      <x:c r="B67" s="19" t="str">
        <x:v>Kratos</x:v>
      </x:c>
      <x:c r="C67" s="24" t="str">
        <x:f>D67&amp;"/"&amp;E67</x:f>
        <x:v>2/6</x:v>
      </x:c>
      <x:c r="D67" s="22" t="n">
        <x:v>2</x:v>
      </x:c>
      <x:c r="E67" s="22" t="n">
        <x:v>6</x:v>
      </x:c>
      <x:c r="F67" s="24" t="str">
        <x:v>Rare</x:v>
      </x:c>
      <x:c r="G67" s="24" t="str">
        <x:v>Magic</x:v>
      </x:c>
      <x:c r="H67" s="24" t="str">
        <x:v>Neutral</x:v>
      </x:c>
      <x:c r="I67" s="18" t="str">
        <x:v>Passive: Your opponent cannot play Relics or use Hero power</x:v>
      </x:c>
      <x:c r="J67" s="18" t="str">
        <x:v>He killed the gods of his world</x:v>
      </x:c>
      <x:c r="K67" s="18" t="str">
        <x:v>God of War Game</x:v>
      </x:c>
      <x:c r="L67" s="17" t="str">
        <x:v>c089</x:v>
      </x:c>
    </x:row>
    <x:row r="68" ht="42" customHeight="1">
      <x:c r="A68" s="21" t="n">
        <x:v>6</x:v>
      </x:c>
      <x:c r="B68" s="14" t="str">
        <x:v>Light Yagami</x:v>
      </x:c>
      <x:c r="C68" s="23" t="str">
        <x:f>D68&amp;"/"&amp;E68</x:f>
        <x:v>2/2</x:v>
      </x:c>
      <x:c r="D68" s="21" t="n">
        <x:v>2</x:v>
      </x:c>
      <x:c r="E68" s="21" t="n">
        <x:v>2</x:v>
      </x:c>
      <x:c r="F68" s="23" t="str">
        <x:v>Mythic</x:v>
      </x:c>
      <x:c r="G68" s="23" t="str">
        <x:v>Magic</x:v>
      </x:c>
      <x:c r="H68" s="23" t="str">
        <x:v>Evil</x:v>
      </x:c>
      <x:c r="I68" s="13" t="str">
        <x:v>Battlecry: Destroy an enemy minion</x:v>
      </x:c>
      <x:c r="J68" s="13" t="str">
        <x:v>Ryuk, come help.</x:v>
      </x:c>
      <x:c r="K68" s="13" t="str">
        <x:v>Death Note</x:v>
      </x:c>
      <x:c r="L68" s="12" t="str">
        <x:v>c021</x:v>
      </x:c>
    </x:row>
    <x:row r="69" ht="42" customHeight="1">
      <x:c r="A69" s="22" t="n">
        <x:v>6</x:v>
      </x:c>
      <x:c r="B69" s="19" t="str">
        <x:v>Mahoraga</x:v>
      </x:c>
      <x:c r="C69" s="24" t="str">
        <x:f>D69&amp;"/"&amp;E69</x:f>
        <x:v>5/6</x:v>
      </x:c>
      <x:c r="D69" s="22" t="n">
        <x:v>5</x:v>
      </x:c>
      <x:c r="E69" s="22" t="n">
        <x:v>6</x:v>
      </x:c>
      <x:c r="F69" s="24" t="str">
        <x:v>Legendary</x:v>
      </x:c>
      <x:c r="G69" s="24" t="str">
        <x:v>Magic</x:v>
      </x:c>
      <x:c r="H69" s="24" t="str">
        <x:v>Neutral</x:v>
      </x:c>
      <x:c r="I69" s="18" t="str">
        <x:v>Passive: Can only be attacked by each enemy minion once per game</x:v>
      </x:c>
      <x:c r="J69" s="18" t="str">
        <x:v>Adaptation is not survival—it is dominance</x:v>
      </x:c>
      <x:c r="K69" s="18" t="str">
        <x:v>Jujutsu Kaisen</x:v>
      </x:c>
      <x:c r="L69" s="17" t="str">
        <x:v>c082</x:v>
      </x:c>
    </x:row>
    <x:row r="70" ht="42" customHeight="1">
      <x:c r="A70" s="21" t="n">
        <x:v>6</x:v>
      </x:c>
      <x:c r="B70" s="14" t="str">
        <x:v>Prince Lloyd</x:v>
      </x:c>
      <x:c r="C70" s="23" t="str">
        <x:f>D70&amp;"/"&amp;E70</x:f>
        <x:v>2/2</x:v>
      </x:c>
      <x:c r="D70" s="21" t="n">
        <x:v>2</x:v>
      </x:c>
      <x:c r="E70" s="21" t="n">
        <x:v>2</x:v>
      </x:c>
      <x:c r="F70" s="23" t="str">
        <x:v>Epic</x:v>
      </x:c>
      <x:c r="G70" s="23" t="str">
        <x:v>Magic</x:v>
      </x:c>
      <x:c r="H70" s="23" t="str">
        <x:v>Good</x:v>
      </x:c>
      <x:c r="I70" s="13" t="str">
        <x:v>Divine Shield. Passive: Other friendly minions take 1 less damage</x:v>
      </x:c>
      <x:c r="J70" s="13" t="str">
        <x:v>Magic is all he ever wanted to perfect.</x:v>
      </x:c>
      <x:c r="K70" s="13" t="str">
        <x:v>7th Prince</x:v>
      </x:c>
      <x:c r="L70" s="12" t="str">
        <x:v>c180</x:v>
      </x:c>
    </x:row>
    <x:row r="71" ht="44" customHeight="1">
      <x:c r="A71" s="22" t="n">
        <x:v>6</x:v>
      </x:c>
      <x:c r="B71" s="19" t="str">
        <x:v>Shigaraki</x:v>
      </x:c>
      <x:c r="C71" s="24" t="str">
        <x:f>D71&amp;"/"&amp;E71</x:f>
        <x:v>4/4</x:v>
      </x:c>
      <x:c r="D71" s="22" t="n">
        <x:v>4</x:v>
      </x:c>
      <x:c r="E71" s="22" t="n">
        <x:v>4</x:v>
      </x:c>
      <x:c r="F71" s="24" t="str">
        <x:v>Rare</x:v>
      </x:c>
      <x:c r="G71" s="24" t="str">
        <x:v>Magic</x:v>
      </x:c>
      <x:c r="H71" s="24" t="str">
        <x:v>Evil</x:v>
      </x:c>
      <x:c r="I71" s="18" t="str">
        <x:v>Passive: Whenever Shigaraki damages a minion, mark it. At the start of your next turn, it dies</x:v>
      </x:c>
      <x:c r="J71" s="18" t="str">
        <x:v>Revenge</x:v>
      </x:c>
      <x:c r="K71" s="18" t="str">
        <x:v>MHA</x:v>
      </x:c>
      <x:c r="L71" s="17" t="str">
        <x:v>c090</x:v>
      </x:c>
    </x:row>
    <x:row r="72" ht="42" customHeight="1">
      <x:c r="A72" s="21" t="n">
        <x:v>6</x:v>
      </x:c>
      <x:c r="B72" s="14" t="str">
        <x:v>Sonic</x:v>
      </x:c>
      <x:c r="C72" s="23" t="str">
        <x:f>D72&amp;"/"&amp;E72</x:f>
        <x:v>5/3</x:v>
      </x:c>
      <x:c r="D72" s="21" t="n">
        <x:v>5</x:v>
      </x:c>
      <x:c r="E72" s="21" t="n">
        <x:v>3</x:v>
      </x:c>
      <x:c r="F72" s="23" t="str">
        <x:v>Legendary</x:v>
      </x:c>
      <x:c r="G72" s="23" t="str">
        <x:v>Nature</x:v>
      </x:c>
      <x:c r="H72" s="23" t="str">
        <x:v>Good</x:v>
      </x:c>
      <x:c r="I72" s="13" t="str">
        <x:v>Charge</x:v>
      </x:c>
      <x:c r="J72" s="13" t="str">
        <x:v>SS</x:v>
      </x:c>
      <x:c r="K72" s="13" t="str">
        <x:v>Sonic The Hedgehog</x:v>
      </x:c>
      <x:c r="L72" s="12" t="str">
        <x:v>c085</x:v>
      </x:c>
    </x:row>
    <x:row r="73" ht="42" customHeight="1">
      <x:c r="A73" s="22" t="n">
        <x:v>6</x:v>
      </x:c>
      <x:c r="B73" s="19" t="str">
        <x:v>Ten Commandments</x:v>
      </x:c>
      <x:c r="C73" s="24" t="str">
        <x:f>D73&amp;"/"&amp;E73</x:f>
        <x:v>3/5</x:v>
      </x:c>
      <x:c r="D73" s="22" t="n">
        <x:v>3</x:v>
      </x:c>
      <x:c r="E73" s="22" t="n">
        <x:v>5</x:v>
      </x:c>
      <x:c r="F73" s="24" t="str">
        <x:v>Epic</x:v>
      </x:c>
      <x:c r="G73" s="24" t="str">
        <x:v>Magic</x:v>
      </x:c>
      <x:c r="H73" s="24" t="str">
        <x:v>Evil</x:v>
      </x:c>
      <x:c r="I73" s="18" t="str">
        <x:v>Passive: The first enemy minion to attack each turn is Chained</x:v>
      </x:c>
      <x:c r="J73" s="18" t="str">
        <x:v>Their reputation preceded them by centuries</x:v>
      </x:c>
      <x:c r="K73" s="18" t="str">
        <x:v>Seven Deadly Sins</x:v>
      </x:c>
      <x:c r="L73" s="17" t="str">
        <x:v>c091</x:v>
      </x:c>
    </x:row>
    <x:row r="74" ht="44" customHeight="1">
      <x:c r="A74" s="21" t="n">
        <x:v>6</x:v>
      </x:c>
      <x:c r="B74" s="14" t="str">
        <x:v>The Mask</x:v>
      </x:c>
      <x:c r="C74" s="23" t="str">
        <x:f>D74&amp;"/"&amp;E74</x:f>
        <x:v>4/3</x:v>
      </x:c>
      <x:c r="D74" s="21" t="n">
        <x:v>4</x:v>
      </x:c>
      <x:c r="E74" s="21" t="n">
        <x:v>3</x:v>
      </x:c>
      <x:c r="F74" s="23" t="str">
        <x:v>Legendary</x:v>
      </x:c>
      <x:c r="G74" s="23" t="str">
        <x:v>Magic</x:v>
      </x:c>
      <x:c r="H74" s="23" t="str">
        <x:v>Neutral</x:v>
      </x:c>
      <x:c r="I74" s="13" t="str">
        <x:v>Battlecry: Transform your minions into random ones that cost 1 more mana</x:v>
      </x:c>
      <x:c r="J74" s="13" t="str">
        <x:v>True nature, revealed</x:v>
      </x:c>
      <x:c r="K74" s="13" t="str">
        <x:v>The Mask</x:v>
      </x:c>
      <x:c r="L74" s="12" t="str">
        <x:v>c116</x:v>
      </x:c>
    </x:row>
    <x:row r="75" ht="42" customHeight="1">
      <x:c r="A75" s="22" t="n">
        <x:v>6</x:v>
      </x:c>
      <x:c r="B75" s="19" t="str">
        <x:v>Toji</x:v>
      </x:c>
      <x:c r="C75" s="24" t="str">
        <x:f>D75&amp;"/"&amp;E75</x:f>
        <x:v>5/3</x:v>
      </x:c>
      <x:c r="D75" s="22" t="n">
        <x:v>5</x:v>
      </x:c>
      <x:c r="E75" s="22" t="n">
        <x:v>3</x:v>
      </x:c>
      <x:c r="F75" s="24" t="str">
        <x:v>Epic</x:v>
      </x:c>
      <x:c r="G75" s="24" t="str">
        <x:v>Nature</x:v>
      </x:c>
      <x:c r="H75" s="24" t="str">
        <x:v>Neutral</x:v>
      </x:c>
      <x:c r="I75" s="18" t="str">
        <x:v>Passive: Immune to Magic minions</x:v>
      </x:c>
      <x:c r="J75" s="18" t="str">
        <x:v>No magic. No mercy.</x:v>
      </x:c>
      <x:c r="K75" s="18" t="str">
        <x:v>Jujutsu Kaisen</x:v>
      </x:c>
      <x:c r="L75" s="17" t="str">
        <x:v>c040</x:v>
      </x:c>
    </x:row>
    <x:row r="76" ht="42" customHeight="1">
      <x:c r="A76" s="21" t="n">
        <x:v>6</x:v>
      </x:c>
      <x:c r="B76" s="14" t="str">
        <x:v>UFO</x:v>
      </x:c>
      <x:c r="C76" s="23" t="str">
        <x:f>D76&amp;"/"&amp;E76</x:f>
        <x:v>3/3</x:v>
      </x:c>
      <x:c r="D76" s="21" t="n">
        <x:v>3</x:v>
      </x:c>
      <x:c r="E76" s="21" t="n">
        <x:v>3</x:v>
      </x:c>
      <x:c r="F76" s="23" t="str">
        <x:v>Rare</x:v>
      </x:c>
      <x:c r="G76" s="23" t="str">
        <x:v>Tech</x:v>
      </x:c>
      <x:c r="H76" s="23" t="str">
        <x:v>Neutral</x:v>
      </x:c>
      <x:c r="I76" s="13" t="str">
        <x:v>Divine Shield</x:v>
      </x:c>
      <x:c r="J76" s="13" t="str">
        <x:v>-</x:v>
      </x:c>
      <x:c r="K76" s="13" t="str">
        <x:v>Basic</x:v>
      </x:c>
      <x:c r="L76" s="12" t="str">
        <x:v>c092</x:v>
      </x:c>
    </x:row>
    <x:row r="77" ht="44" customHeight="1">
      <x:c r="A77" s="22" t="n">
        <x:v>5</x:v>
      </x:c>
      <x:c r="B77" s="19" t="str">
        <x:v>Buddha</x:v>
      </x:c>
      <x:c r="C77" s="24" t="str">
        <x:f>D77&amp;"/"&amp;E77</x:f>
        <x:v>3/4</x:v>
      </x:c>
      <x:c r="D77" s="22" t="n">
        <x:v>3</x:v>
      </x:c>
      <x:c r="E77" s="22" t="n">
        <x:v>4</x:v>
      </x:c>
      <x:c r="F77" s="24" t="str">
        <x:v>Epic</x:v>
      </x:c>
      <x:c r="G77" s="24" t="str">
        <x:v>Magic</x:v>
      </x:c>
      <x:c r="H77" s="24" t="str">
        <x:v>Good</x:v>
      </x:c>
      <x:c r="I77" s="18" t="str">
        <x:v>Battlecry: All minions become Good type. Clear Chained, Frozen, Silenced and Marked from every minion on the board</x:v>
      </x:c>
      <x:c r="J77" s="18" t="str">
        <x:v>Peace.</x:v>
      </x:c>
      <x:c r="K77" s="18" t="str">
        <x:v>Record of Ragnarok</x:v>
      </x:c>
      <x:c r="L77" s="17" t="str">
        <x:v>c038</x:v>
      </x:c>
    </x:row>
    <x:row r="78" ht="42" customHeight="1">
      <x:c r="A78" s="21" t="n">
        <x:v>5</x:v>
      </x:c>
      <x:c r="B78" s="14" t="str">
        <x:v>Carrier Strike Group</x:v>
      </x:c>
      <x:c r="C78" s="23" t="str">
        <x:f>D78&amp;"/"&amp;E78</x:f>
        <x:v>2/5</x:v>
      </x:c>
      <x:c r="D78" s="21" t="n">
        <x:v>2</x:v>
      </x:c>
      <x:c r="E78" s="21" t="n">
        <x:v>5</x:v>
      </x:c>
      <x:c r="F78" s="23" t="str">
        <x:v>Rare</x:v>
      </x:c>
      <x:c r="G78" s="23" t="str">
        <x:v>Tech</x:v>
      </x:c>
      <x:c r="H78" s="23" t="str">
        <x:v>Neutral</x:v>
      </x:c>
      <x:c r="I78" s="13" t="str">
        <x:v>Passive: Enemy Tech minions cannot attack</x:v>
      </x:c>
      <x:c r="J78" s="13" t="str">
        <x:v>The horizon belongs to the fleet.</x:v>
      </x:c>
      <x:c r="K78" s="13" t="str">
        <x:v>Basic</x:v>
      </x:c>
      <x:c r="L78" s="12" t="str">
        <x:v>c187</x:v>
      </x:c>
    </x:row>
    <x:row r="79" ht="42" customHeight="1">
      <x:c r="A79" s="22" t="n">
        <x:v>5</x:v>
      </x:c>
      <x:c r="B79" s="19" t="str">
        <x:v>Chaos</x:v>
      </x:c>
      <x:c r="C79" s="24" t="str">
        <x:f>D79&amp;"/"&amp;E79</x:f>
        <x:v>1/1</x:v>
      </x:c>
      <x:c r="D79" s="22" t="n">
        <x:v>1</x:v>
      </x:c>
      <x:c r="E79" s="22" t="n">
        <x:v>1</x:v>
      </x:c>
      <x:c r="F79" s="24" t="str">
        <x:v>Epic</x:v>
      </x:c>
      <x:c r="G79" s="24" t="str">
        <x:v>Magic</x:v>
      </x:c>
      <x:c r="H79" s="24" t="str">
        <x:v>Neutral</x:v>
      </x:c>
      <x:c r="I79" s="18" t="str">
        <x:v>Battlecry: Summon a random minion from your deck</x:v>
      </x:c>
      <x:c r="J79" s="18" t="str">
        <x:v>He gives gifts. He never mentions the cost</x:v>
      </x:c>
      <x:c r="K79" s="18" t="str">
        <x:v>Hades</x:v>
      </x:c>
      <x:c r="L79" s="17" t="str">
        <x:v>c061</x:v>
      </x:c>
    </x:row>
    <x:row r="80" ht="42" customHeight="1">
      <x:c r="A80" s="21" t="n">
        <x:v>5</x:v>
      </x:c>
      <x:c r="B80" s="14" t="str">
        <x:v>Darth Vader</x:v>
      </x:c>
      <x:c r="C80" s="23" t="str">
        <x:f>D80&amp;"/"&amp;E80</x:f>
        <x:v>3/2</x:v>
      </x:c>
      <x:c r="D80" s="21" t="n">
        <x:v>3</x:v>
      </x:c>
      <x:c r="E80" s="21" t="n">
        <x:v>2</x:v>
      </x:c>
      <x:c r="F80" s="23" t="str">
        <x:v>Mythic</x:v>
      </x:c>
      <x:c r="G80" s="23" t="str">
        <x:v>Magic</x:v>
      </x:c>
      <x:c r="H80" s="23" t="str">
        <x:v>Evil</x:v>
      </x:c>
      <x:c r="I80" s="13" t="str">
        <x:v>Battlecry: Choose an enemy minion. Set its ATK to 1 and Chain it</x:v>
      </x:c>
      <x:c r="J80" s="13" t="str">
        <x:v>Reborn.</x:v>
      </x:c>
      <x:c r="K80" s="13" t="str">
        <x:v>Star Wars</x:v>
      </x:c>
      <x:c r="L80" s="12" t="str">
        <x:v>c029</x:v>
      </x:c>
    </x:row>
    <x:row r="81" ht="42" customHeight="1">
      <x:c r="A81" s="22" t="n">
        <x:v>5</x:v>
      </x:c>
      <x:c r="B81" s="19" t="str">
        <x:v>Dio Brando</x:v>
      </x:c>
      <x:c r="C81" s="24" t="str">
        <x:f>D81&amp;"/"&amp;E81</x:f>
        <x:v>3/2</x:v>
      </x:c>
      <x:c r="D81" s="22" t="n">
        <x:v>3</x:v>
      </x:c>
      <x:c r="E81" s="22" t="n">
        <x:v>2</x:v>
      </x:c>
      <x:c r="F81" s="24" t="str">
        <x:v>Mythic</x:v>
      </x:c>
      <x:c r="G81" s="24" t="str">
        <x:v>Magic</x:v>
      </x:c>
      <x:c r="H81" s="24" t="str">
        <x:v>Evil</x:v>
      </x:c>
      <x:c r="I81" s="18" t="str">
        <x:v>Battlecry: Freeze all enemy minions</x:v>
      </x:c>
      <x:c r="J81" s="18" t="str">
        <x:v>THE WORLD</x:v>
      </x:c>
      <x:c r="K81" s="18" t="str">
        <x:v>JoJo</x:v>
      </x:c>
      <x:c r="L81" s="17" t="str">
        <x:v>c096</x:v>
      </x:c>
    </x:row>
    <x:row r="82" ht="42" customHeight="1">
      <x:c r="A82" s="21" t="n">
        <x:v>5</x:v>
      </x:c>
      <x:c r="B82" s="14" t="str">
        <x:v>Dragon</x:v>
      </x:c>
      <x:c r="C82" s="23" t="str">
        <x:f>D82&amp;"/"&amp;E82</x:f>
        <x:v>3/5</x:v>
      </x:c>
      <x:c r="D82" s="21" t="n">
        <x:v>3</x:v>
      </x:c>
      <x:c r="E82" s="21" t="n">
        <x:v>5</x:v>
      </x:c>
      <x:c r="F82" s="23" t="str">
        <x:v>Rare</x:v>
      </x:c>
      <x:c r="G82" s="23" t="str">
        <x:v>Nature</x:v>
      </x:c>
      <x:c r="H82" s="23" t="str">
        <x:v>Neutral</x:v>
      </x:c>
      <x:c r="I82" s="13" t="str">
        <x:v>Taunt</x:v>
      </x:c>
      <x:c r="J82" s="13" t="str">
        <x:v>ROAR</x:v>
      </x:c>
      <x:c r="K82" s="13" t="str">
        <x:v>Myth</x:v>
      </x:c>
      <x:c r="L82" s="12" t="str">
        <x:v>c102</x:v>
      </x:c>
    </x:row>
    <x:row r="83" ht="44" customHeight="1">
      <x:c r="A83" s="22" t="n">
        <x:v>5</x:v>
      </x:c>
      <x:c r="B83" s="19" t="str">
        <x:v>Dumbledore</x:v>
      </x:c>
      <x:c r="C83" s="24" t="str">
        <x:f>D83&amp;"/"&amp;E83</x:f>
        <x:v>2/4</x:v>
      </x:c>
      <x:c r="D83" s="22" t="n">
        <x:v>2</x:v>
      </x:c>
      <x:c r="E83" s="22" t="n">
        <x:v>4</x:v>
      </x:c>
      <x:c r="F83" s="24" t="str">
        <x:v>Rare</x:v>
      </x:c>
      <x:c r="G83" s="24" t="str">
        <x:v>Magic</x:v>
      </x:c>
      <x:c r="H83" s="24" t="str">
        <x:v>Good</x:v>
      </x:c>
      <x:c r="I83" s="18" t="str">
        <x:v>Passive: Friendly minions cannot be Silenced, Frozen, or Chained. Undo any such curses</x:v>
      </x:c>
      <x:c r="J83" s="18" t="str">
        <x:v>He always asks calmly.</x:v>
      </x:c>
      <x:c r="K83" s="18" t="str">
        <x:v>Harry Potter</x:v>
      </x:c>
      <x:c r="L83" s="17" t="str">
        <x:v>c030</x:v>
      </x:c>
    </x:row>
    <x:row r="84" ht="42" customHeight="1">
      <x:c r="A84" s="21" t="n">
        <x:v>5</x:v>
      </x:c>
      <x:c r="B84" s="14" t="str">
        <x:v>Fire Lord Ozai</x:v>
      </x:c>
      <x:c r="C84" s="23" t="str">
        <x:f>D84&amp;"/"&amp;E84</x:f>
        <x:v>3/3</x:v>
      </x:c>
      <x:c r="D84" s="21" t="n">
        <x:v>3</x:v>
      </x:c>
      <x:c r="E84" s="21" t="n">
        <x:v>3</x:v>
      </x:c>
      <x:c r="F84" s="23" t="str">
        <x:v>Epic</x:v>
      </x:c>
      <x:c r="G84" s="23" t="str">
        <x:v>Magic</x:v>
      </x:c>
      <x:c r="H84" s="23" t="str">
        <x:v>Evil</x:v>
      </x:c>
      <x:c r="I84" s="13" t="str">
        <x:v>Battlecry: Deal 2 damage to all other minions</x:v>
      </x:c>
      <x:c r="J84" s="13" t="str">
        <x:v>Entitlement</x:v>
      </x:c>
      <x:c r="K84" s="13" t="str">
        <x:v>Avatar</x:v>
      </x:c>
      <x:c r="L84" s="12" t="str">
        <x:v>c099</x:v>
      </x:c>
    </x:row>
    <x:row r="85" ht="44" customHeight="1">
      <x:c r="A85" s="22" t="n">
        <x:v>5</x:v>
      </x:c>
      <x:c r="B85" s="19" t="str">
        <x:v>GLaDOS</x:v>
      </x:c>
      <x:c r="C85" s="24" t="str">
        <x:f>D85&amp;"/"&amp;E85</x:f>
        <x:v>2/3</x:v>
      </x:c>
      <x:c r="D85" s="22" t="n">
        <x:v>2</x:v>
      </x:c>
      <x:c r="E85" s="22" t="n">
        <x:v>3</x:v>
      </x:c>
      <x:c r="F85" s="24" t="str">
        <x:v>Legendary</x:v>
      </x:c>
      <x:c r="G85" s="24" t="str">
        <x:v>Tech</x:v>
      </x:c>
      <x:c r="H85" s="24" t="str">
        <x:v>Evil</x:v>
      </x:c>
      <x:c r="I85" s="18" t="str">
        <x:v>Cannot attack. Passive: Adjacent friendly Tech minions have Taunt and +2/+2</x:v>
      </x:c>
      <x:c r="J85" s="18" t="str">
        <x:v>The test continues</x:v>
      </x:c>
      <x:c r="K85" s="18" t="str">
        <x:v>Portal</x:v>
      </x:c>
      <x:c r="L85" s="17" t="str">
        <x:v>c104</x:v>
      </x:c>
    </x:row>
    <x:row r="86" ht="44" customHeight="1">
      <x:c r="A86" s="21" t="n">
        <x:v>5</x:v>
      </x:c>
      <x:c r="B86" s="14" t="str">
        <x:v>Grand Master Oogway</x:v>
      </x:c>
      <x:c r="C86" s="23" t="str">
        <x:f>D86&amp;"/"&amp;E86</x:f>
        <x:v>2/2</x:v>
      </x:c>
      <x:c r="D86" s="21" t="n">
        <x:v>2</x:v>
      </x:c>
      <x:c r="E86" s="21" t="n">
        <x:v>2</x:v>
      </x:c>
      <x:c r="F86" s="23" t="str">
        <x:v>Legendary</x:v>
      </x:c>
      <x:c r="G86" s="23" t="str">
        <x:v>Magic</x:v>
      </x:c>
      <x:c r="H86" s="23" t="str">
        <x:v>Good</x:v>
      </x:c>
      <x:c r="I86" s="13" t="str">
        <x:v>Divine Shield. Passive: When another friendly minion would die, return it to your hand instead</x:v>
      </x:c>
      <x:c r="J86" s="13" t="str">
        <x:v>Patience</x:v>
      </x:c>
      <x:c r="K86" s="13" t="str">
        <x:v>Kung-Fu Panda</x:v>
      </x:c>
      <x:c r="L86" s="12" t="str">
        <x:v>c094</x:v>
      </x:c>
    </x:row>
    <x:row r="87" ht="44" customHeight="1">
      <x:c r="A87" s="22" t="n">
        <x:v>5</x:v>
      </x:c>
      <x:c r="B87" s="19" t="str">
        <x:v>Kojiro Sasaki</x:v>
      </x:c>
      <x:c r="C87" s="24" t="str">
        <x:f>D87&amp;"/"&amp;E87</x:f>
        <x:v>2/2</x:v>
      </x:c>
      <x:c r="D87" s="22" t="n">
        <x:v>2</x:v>
      </x:c>
      <x:c r="E87" s="22" t="n">
        <x:v>2</x:v>
      </x:c>
      <x:c r="F87" s="24" t="str">
        <x:v>Mythic</x:v>
      </x:c>
      <x:c r="G87" s="24" t="str">
        <x:v>Nature</x:v>
      </x:c>
      <x:c r="H87" s="24" t="str">
        <x:v>Good</x:v>
      </x:c>
      <x:c r="I87" s="18" t="str">
        <x:v>Passive: All friendly minions have +33% chance to evade an attack</x:v>
      </x:c>
      <x:c r="J87" s="18" t="str">
        <x:v>Spending infinity in the Astral made him on par with the Gods</x:v>
      </x:c>
      <x:c r="K87" s="18" t="str">
        <x:v>RoR</x:v>
      </x:c>
      <x:c r="L87" s="17" t="str">
        <x:v>c095</x:v>
      </x:c>
    </x:row>
    <x:row r="88" ht="44" customHeight="1">
      <x:c r="A88" s="21" t="n">
        <x:v>5</x:v>
      </x:c>
      <x:c r="B88" s="14" t="str">
        <x:v>Kuma</x:v>
      </x:c>
      <x:c r="C88" s="23" t="str">
        <x:f>D88&amp;"/"&amp;E88</x:f>
        <x:v>3/3</x:v>
      </x:c>
      <x:c r="D88" s="21" t="n">
        <x:v>3</x:v>
      </x:c>
      <x:c r="E88" s="21" t="n">
        <x:v>3</x:v>
      </x:c>
      <x:c r="F88" s="23" t="str">
        <x:v>Rare</x:v>
      </x:c>
      <x:c r="G88" s="23" t="str">
        <x:v>Tech</x:v>
      </x:c>
      <x:c r="H88" s="23" t="str">
        <x:v>Good</x:v>
      </x:c>
      <x:c r="I88" s="13" t="str">
        <x:v>Battlecry: Return a friendly minion to your hand. It costs 5 less the next time it is played this game</x:v>
      </x:c>
      <x:c r="J88" s="13" t="str">
        <x:v>Weapon</x:v>
      </x:c>
      <x:c r="K88" s="13" t="str">
        <x:v>One Piece</x:v>
      </x:c>
      <x:c r="L88" s="12" t="str">
        <x:v>c133</x:v>
      </x:c>
    </x:row>
    <x:row r="89" ht="44" customHeight="1">
      <x:c r="A89" s="22" t="n">
        <x:v>5</x:v>
      </x:c>
      <x:c r="B89" s="19" t="str">
        <x:v>One-Eyed Owl</x:v>
      </x:c>
      <x:c r="C89" s="24" t="str">
        <x:f>D89&amp;"/"&amp;E89</x:f>
        <x:v>4/4</x:v>
      </x:c>
      <x:c r="D89" s="22" t="n">
        <x:v>4</x:v>
      </x:c>
      <x:c r="E89" s="22" t="n">
        <x:v>4</x:v>
      </x:c>
      <x:c r="F89" s="24" t="str">
        <x:v>Epic</x:v>
      </x:c>
      <x:c r="G89" s="24" t="str">
        <x:v>Nature</x:v>
      </x:c>
      <x:c r="H89" s="24" t="str">
        <x:v>Evil</x:v>
      </x:c>
      <x:c r="I89" s="18" t="str">
        <x:v>Passive: Whenever a minion becomes Chained, Frozen or Silenced, gain +1/+1</x:v>
      </x:c>
      <x:c r="J89" s="18" t="str">
        <x:v>All seeing eye</x:v>
      </x:c>
      <x:c r="K89" s="18" t="str">
        <x:v>Tokyo Ghoul</x:v>
      </x:c>
      <x:c r="L89" s="17" t="str">
        <x:v>c115</x:v>
      </x:c>
    </x:row>
    <x:row r="90" ht="44" customHeight="1">
      <x:c r="A90" s="21" t="n">
        <x:v>5</x:v>
      </x:c>
      <x:c r="B90" s="14" t="str">
        <x:v>Pandora's Actor</x:v>
      </x:c>
      <x:c r="C90" s="23" t="str">
        <x:f>D90&amp;"/"&amp;E90</x:f>
        <x:v>5/5</x:v>
      </x:c>
      <x:c r="D90" s="21" t="n">
        <x:v>5</x:v>
      </x:c>
      <x:c r="E90" s="21" t="n">
        <x:v>5</x:v>
      </x:c>
      <x:c r="F90" s="23" t="str">
        <x:v>Epic</x:v>
      </x:c>
      <x:c r="G90" s="23" t="str">
        <x:v>Magic</x:v>
      </x:c>
      <x:c r="H90" s="23" t="str">
        <x:v>Evil</x:v>
      </x:c>
      <x:c r="I90" s="13" t="str">
        <x:v>Battlecry: Choose another minion. Become it. HP and ATK are not copied</x:v>
      </x:c>
      <x:c r="J90" s="13" t="str">
        <x:v>Every role is useful.</x:v>
      </x:c>
      <x:c r="K90" s="13" t="str">
        <x:v>Overlord</x:v>
      </x:c>
      <x:c r="L90" s="12" t="str">
        <x:v>c007</x:v>
      </x:c>
    </x:row>
    <x:row r="91" ht="42" customHeight="1">
      <x:c r="A91" s="22" t="n">
        <x:v>5</x:v>
      </x:c>
      <x:c r="B91" s="19" t="str">
        <x:v>Rennala Queen of the Full Moon</x:v>
      </x:c>
      <x:c r="C91" s="24" t="str">
        <x:f>D91&amp;"/"&amp;E91</x:f>
        <x:v>2/3</x:v>
      </x:c>
      <x:c r="D91" s="22" t="n">
        <x:v>2</x:v>
      </x:c>
      <x:c r="E91" s="22" t="n">
        <x:v>3</x:v>
      </x:c>
      <x:c r="F91" s="24" t="str">
        <x:v>Epic</x:v>
      </x:c>
      <x:c r="G91" s="24" t="str">
        <x:v>Magic</x:v>
      </x:c>
      <x:c r="H91" s="24" t="str">
        <x:v>Neutral</x:v>
      </x:c>
      <x:c r="I91" s="18" t="str">
        <x:v>Battlecry: Rebirth a random friendly minion that died this game</x:v>
      </x:c>
      <x:c r="J91" s="18" t="str">
        <x:v>The Moon</x:v>
      </x:c>
      <x:c r="K91" s="18" t="str">
        <x:v>Elden Ring</x:v>
      </x:c>
      <x:c r="L91" s="17" t="str">
        <x:v>c100</x:v>
      </x:c>
    </x:row>
    <x:row r="92" ht="42" customHeight="1">
      <x:c r="A92" s="21" t="n">
        <x:v>5</x:v>
      </x:c>
      <x:c r="B92" s="14" t="str">
        <x:v>T-1000</x:v>
      </x:c>
      <x:c r="C92" s="23" t="str">
        <x:f>D92&amp;"/"&amp;E92</x:f>
        <x:v>3/5</x:v>
      </x:c>
      <x:c r="D92" s="21" t="n">
        <x:v>3</x:v>
      </x:c>
      <x:c r="E92" s="21" t="n">
        <x:v>5</x:v>
      </x:c>
      <x:c r="F92" s="23" t="str">
        <x:v>Epic</x:v>
      </x:c>
      <x:c r="G92" s="23" t="str">
        <x:v>Tech</x:v>
      </x:c>
      <x:c r="H92" s="23" t="str">
        <x:v>Neutral</x:v>
      </x:c>
      <x:c r="I92" s="13" t="str">
        <x:v>Ongoing: Fully heal yourself</x:v>
      </x:c>
      <x:c r="J92" s="13" t="str">
        <x:v>It remembers its shape.</x:v>
      </x:c>
      <x:c r="K92" s="13" t="str">
        <x:v>Terminator</x:v>
      </x:c>
      <x:c r="L92" s="12" t="str">
        <x:v>c008</x:v>
      </x:c>
    </x:row>
    <x:row r="93" ht="42" customHeight="1">
      <x:c r="A93" s="22" t="n">
        <x:v>5</x:v>
      </x:c>
      <x:c r="B93" s="19" t="str">
        <x:v>The Driller</x:v>
      </x:c>
      <x:c r="C93" s="24" t="str">
        <x:f>D93&amp;"/"&amp;E93</x:f>
        <x:v>1/1</x:v>
      </x:c>
      <x:c r="D93" s="22" t="n">
        <x:v>1</x:v>
      </x:c>
      <x:c r="E93" s="22" t="n">
        <x:v>1</x:v>
      </x:c>
      <x:c r="F93" s="24" t="str">
        <x:v>Rare</x:v>
      </x:c>
      <x:c r="G93" s="24" t="str">
        <x:v>Tech</x:v>
      </x:c>
      <x:c r="H93" s="24" t="str">
        <x:v>Evil</x:v>
      </x:c>
      <x:c r="I93" s="18" t="str">
        <x:v>Battlecry: Consume an enemy Tech minion with 4 HP or lower</x:v>
      </x:c>
      <x:c r="J93" s="18" t="str">
        <x:v>Latest design</x:v>
      </x:c>
      <x:c r="K93" s="18" t="str">
        <x:v>Transformers</x:v>
      </x:c>
      <x:c r="L93" s="17" t="str">
        <x:v>c105</x:v>
      </x:c>
    </x:row>
    <x:row r="94" ht="42" customHeight="1">
      <x:c r="A94" s="21" t="n">
        <x:v>5</x:v>
      </x:c>
      <x:c r="B94" s="14" t="str">
        <x:v>Time Bomb</x:v>
      </x:c>
      <x:c r="C94" s="23" t="str">
        <x:f>D94&amp;"/"&amp;E94</x:f>
        <x:v>0/9</x:v>
      </x:c>
      <x:c r="D94" s="21" t="n">
        <x:v>0</x:v>
      </x:c>
      <x:c r="E94" s="21" t="n">
        <x:v>9</x:v>
      </x:c>
      <x:c r="F94" s="23" t="str">
        <x:v>Rare</x:v>
      </x:c>
      <x:c r="G94" s="23" t="str">
        <x:v>Tech</x:v>
      </x:c>
      <x:c r="H94" s="23" t="str">
        <x:v>Neutral</x:v>
      </x:c>
      <x:c r="I94" s="13" t="str">
        <x:v>Ongoing: Destroy ALL minions</x:v>
      </x:c>
      <x:c r="J94" s="13" t="str">
        <x:v>Timer is T-1.</x:v>
      </x:c>
      <x:c r="K94" s="13" t="str">
        <x:v>Loki</x:v>
      </x:c>
      <x:c r="L94" s="12" t="str">
        <x:v>c009</x:v>
      </x:c>
    </x:row>
    <x:row r="95" ht="44" customHeight="1">
      <x:c r="A95" s="22" t="n">
        <x:v>5</x:v>
      </x:c>
      <x:c r="B95" s="19" t="str">
        <x:v>Transformers</x:v>
      </x:c>
      <x:c r="C95" s="24" t="str">
        <x:f>D95&amp;"/"&amp;E95</x:f>
        <x:v>2/5</x:v>
      </x:c>
      <x:c r="D95" s="22" t="n">
        <x:v>2</x:v>
      </x:c>
      <x:c r="E95" s="22" t="n">
        <x:v>5</x:v>
      </x:c>
      <x:c r="F95" s="24" t="str">
        <x:v>Rare</x:v>
      </x:c>
      <x:c r="G95" s="24" t="str">
        <x:v>Tech</x:v>
      </x:c>
      <x:c r="H95" s="24" t="str">
        <x:v>Neutral</x:v>
      </x:c>
      <x:c r="I95" s="18" t="str">
        <x:v>Battlecry: Consume all friendly Tech minions and gain their stats and effects</x:v>
      </x:c>
      <x:c r="J95" s="18" t="str">
        <x:v>Cybertronian</x:v>
      </x:c>
      <x:c r="K95" s="18" t="str">
        <x:v>Transformers</x:v>
      </x:c>
      <x:c r="L95" s="17" t="str">
        <x:v>c106</x:v>
      </x:c>
    </x:row>
    <x:row r="96" ht="42" customHeight="1">
      <x:c r="A96" s="21" t="n">
        <x:v>5</x:v>
      </x:c>
      <x:c r="B96" s="14" t="str">
        <x:v>Zoro</x:v>
      </x:c>
      <x:c r="C96" s="23" t="str">
        <x:f>D96&amp;"/"&amp;E96</x:f>
        <x:v>4/4</x:v>
      </x:c>
      <x:c r="D96" s="21" t="n">
        <x:v>4</x:v>
      </x:c>
      <x:c r="E96" s="21" t="n">
        <x:v>4</x:v>
      </x:c>
      <x:c r="F96" s="23" t="str">
        <x:v>Epic</x:v>
      </x:c>
      <x:c r="G96" s="23" t="str">
        <x:v>Nature</x:v>
      </x:c>
      <x:c r="H96" s="23" t="str">
        <x:v>Good</x:v>
      </x:c>
      <x:c r="I96" s="13" t="str">
        <x:v>Passive: Gain +1/+1 after killing a minion</x:v>
      </x:c>
      <x:c r="J96" s="13" t="str">
        <x:v>Lost again. Still won.</x:v>
      </x:c>
      <x:c r="K96" s="13" t="str">
        <x:v>One Piece</x:v>
      </x:c>
      <x:c r="L96" s="12" t="str">
        <x:v>c142</x:v>
      </x:c>
    </x:row>
    <x:row r="97" ht="42" customHeight="1">
      <x:c r="A97" s="22" t="n">
        <x:v>4</x:v>
      </x:c>
      <x:c r="B97" s="19" t="str">
        <x:v>Albion</x:v>
      </x:c>
      <x:c r="C97" s="24" t="str">
        <x:f>D97&amp;"/"&amp;E97</x:f>
        <x:v>6/5</x:v>
      </x:c>
      <x:c r="D97" s="22" t="n">
        <x:v>6</x:v>
      </x:c>
      <x:c r="E97" s="22" t="n">
        <x:v>5</x:v>
      </x:c>
      <x:c r="F97" s="24" t="str">
        <x:v>Rare</x:v>
      </x:c>
      <x:c r="G97" s="24" t="str">
        <x:v>Magic</x:v>
      </x:c>
      <x:c r="H97" s="24" t="str">
        <x:v>Evil</x:v>
      </x:c>
      <x:c r="I97" s="18" t="str">
        <x:v>Chained</x:v>
      </x:c>
      <x:c r="J97" s="18" t="str">
        <x:v>Mountain-tall</x:v>
      </x:c>
      <x:c r="K97" s="18" t="str">
        <x:v>Seven Deadly Sins</x:v>
      </x:c>
      <x:c r="L97" s="17" t="str">
        <x:v>c117</x:v>
      </x:c>
    </x:row>
    <x:row r="98" ht="44" customHeight="1">
      <x:c r="A98" s="21" t="n">
        <x:v>4</x:v>
      </x:c>
      <x:c r="B98" s="14" t="str">
        <x:v>Angstrom Levy</x:v>
      </x:c>
      <x:c r="C98" s="23" t="str">
        <x:f>D98&amp;"/"&amp;E98</x:f>
        <x:v>3/3</x:v>
      </x:c>
      <x:c r="D98" s="21" t="n">
        <x:v>3</x:v>
      </x:c>
      <x:c r="E98" s="21" t="n">
        <x:v>3</x:v>
      </x:c>
      <x:c r="F98" s="23" t="str">
        <x:v>Rare</x:v>
      </x:c>
      <x:c r="G98" s="23" t="str">
        <x:v>Magic</x:v>
      </x:c>
      <x:c r="H98" s="23" t="str">
        <x:v>Neutral</x:v>
      </x:c>
      <x:c r="I98" s="13" t="str">
        <x:v>Battlecry: Choose another minion. Put it on the bottom of the deck and summon a random minion of the same cost into its slot</x:v>
      </x:c>
      <x:c r="J98" s="13" t="str">
        <x:v>Universe</x:v>
      </x:c>
      <x:c r="K98" s="13" t="str">
        <x:v>Invincible</x:v>
      </x:c>
      <x:c r="L98" s="12" t="str">
        <x:v>c163</x:v>
      </x:c>
    </x:row>
    <x:row r="99" ht="42" customHeight="1">
      <x:c r="A99" s="22" t="n">
        <x:v>4</x:v>
      </x:c>
      <x:c r="B99" s="19" t="str">
        <x:v>Battleship</x:v>
      </x:c>
      <x:c r="C99" s="24" t="str">
        <x:f>D99&amp;"/"&amp;E99</x:f>
        <x:v>2/3</x:v>
      </x:c>
      <x:c r="D99" s="22" t="n">
        <x:v>2</x:v>
      </x:c>
      <x:c r="E99" s="22" t="n">
        <x:v>3</x:v>
      </x:c>
      <x:c r="F99" s="24" t="str">
        <x:v>Rare</x:v>
      </x:c>
      <x:c r="G99" s="24" t="str">
        <x:v>Tech</x:v>
      </x:c>
      <x:c r="H99" s="24" t="str">
        <x:v>Neutral</x:v>
      </x:c>
      <x:c r="I99" s="18" t="str">
        <x:v>Passive: All friendly Tech minions have +2/+1</x:v>
      </x:c>
      <x:c r="J99" s="18" t="str">
        <x:v>-</x:v>
      </x:c>
      <x:c r="K99" s="18" t="str">
        <x:v>Basic</x:v>
      </x:c>
      <x:c r="L99" s="17" t="str">
        <x:v>c118</x:v>
      </x:c>
    </x:row>
    <x:row r="100" ht="42" customHeight="1">
      <x:c r="A100" s="21" t="n">
        <x:v>4</x:v>
      </x:c>
      <x:c r="B100" s="14" t="str">
        <x:v>Carnage Kabuto</x:v>
      </x:c>
      <x:c r="C100" s="23" t="str">
        <x:f>D100&amp;"/"&amp;E100</x:f>
        <x:v>1/4</x:v>
      </x:c>
      <x:c r="D100" s="21" t="n">
        <x:v>1</x:v>
      </x:c>
      <x:c r="E100" s="21" t="n">
        <x:v>4</x:v>
      </x:c>
      <x:c r="F100" s="23" t="str">
        <x:v>Rare</x:v>
      </x:c>
      <x:c r="G100" s="23" t="str">
        <x:v>Nature</x:v>
      </x:c>
      <x:c r="H100" s="23" t="str">
        <x:v>Evil</x:v>
      </x:c>
      <x:c r="I100" s="13" t="str">
        <x:v>Ongoing: Gain +3 ATK</x:v>
      </x:c>
      <x:c r="J100" s="13" t="str">
        <x:v>Maximum evolution</x:v>
      </x:c>
      <x:c r="K100" s="13" t="str">
        <x:v>OPM</x:v>
      </x:c>
      <x:c r="L100" s="12" t="str">
        <x:v>c119</x:v>
      </x:c>
    </x:row>
    <x:row r="101" ht="44" customHeight="1">
      <x:c r="A101" s="22" t="n">
        <x:v>4</x:v>
      </x:c>
      <x:c r="B101" s="19" t="str">
        <x:v>Chrollo</x:v>
      </x:c>
      <x:c r="C101" s="24" t="str">
        <x:f>D101&amp;"/"&amp;E101</x:f>
        <x:v>3/5</x:v>
      </x:c>
      <x:c r="D101" s="22" t="n">
        <x:v>3</x:v>
      </x:c>
      <x:c r="E101" s="22" t="n">
        <x:v>5</x:v>
      </x:c>
      <x:c r="F101" s="24" t="str">
        <x:v>Legendary</x:v>
      </x:c>
      <x:c r="G101" s="24" t="str">
        <x:v>Magic</x:v>
      </x:c>
      <x:c r="H101" s="24" t="str">
        <x:v>Evil</x:v>
      </x:c>
      <x:c r="I101" s="18" t="str">
        <x:v>Battlecry: Copy a passive from a minion. That minion loses the passive as long as Chrollo is alive</x:v>
      </x:c>
      <x:c r="J101" s="18" t="str">
        <x:v>A poisonous spider</x:v>
      </x:c>
      <x:c r="K101" s="18" t="str">
        <x:v>HxH</x:v>
      </x:c>
      <x:c r="L101" s="17" t="str">
        <x:v>c107</x:v>
      </x:c>
    </x:row>
    <x:row r="102" ht="44" customHeight="1">
      <x:c r="A102" s="21" t="n">
        <x:v>4</x:v>
      </x:c>
      <x:c r="B102" s="14" t="str">
        <x:v>Doctor Octopus</x:v>
      </x:c>
      <x:c r="C102" s="23" t="str">
        <x:f>D102&amp;"/"&amp;E102</x:f>
        <x:v>3/3</x:v>
      </x:c>
      <x:c r="D102" s="21" t="n">
        <x:v>3</x:v>
      </x:c>
      <x:c r="E102" s="21" t="n">
        <x:v>3</x:v>
      </x:c>
      <x:c r="F102" s="23" t="str">
        <x:v>Rare</x:v>
      </x:c>
      <x:c r="G102" s="23" t="str">
        <x:v>Tech</x:v>
      </x:c>
      <x:c r="H102" s="23" t="str">
        <x:v>Evil</x:v>
      </x:c>
      <x:c r="I102" s="13" t="str">
        <x:v>Battlecry: Destroy an enemy Relic (equipped by an enemy minion) of your choice</x:v>
      </x:c>
      <x:c r="J102" s="13" t="str">
        <x:v>The power of the Sun, in the palm of my hands</x:v>
      </x:c>
      <x:c r="K102" s="13" t="str">
        <x:v>MCU</x:v>
      </x:c>
      <x:c r="L102" s="12" t="str">
        <x:v>c111</x:v>
      </x:c>
    </x:row>
    <x:row r="103" ht="44" customHeight="1">
      <x:c r="A103" s="22" t="n">
        <x:v>4</x:v>
      </x:c>
      <x:c r="B103" s="19" t="str">
        <x:v>Dominion Authority</x:v>
      </x:c>
      <x:c r="C103" s="24" t="str">
        <x:f>D103&amp;"/"&amp;E103</x:f>
        <x:v>1/4</x:v>
      </x:c>
      <x:c r="D103" s="22" t="n">
        <x:v>1</x:v>
      </x:c>
      <x:c r="E103" s="22" t="n">
        <x:v>4</x:v>
      </x:c>
      <x:c r="F103" s="24" t="str">
        <x:v>Rare</x:v>
      </x:c>
      <x:c r="G103" s="24" t="str">
        <x:v>Magic</x:v>
      </x:c>
      <x:c r="H103" s="24" t="str">
        <x:v>Good</x:v>
      </x:c>
      <x:c r="I103" s="18" t="str">
        <x:v>Passive: Friendly minions cannot be mind-controlled, returned to hand, or transformed by enemy effects</x:v>
      </x:c>
      <x:c r="J103" s="18" t="str">
        <x:v>Loyalty</x:v>
      </x:c>
      <x:c r="K103" s="18" t="str">
        <x:v>Overlord</x:v>
      </x:c>
      <x:c r="L103" s="17" t="str">
        <x:v>c086</x:v>
      </x:c>
    </x:row>
    <x:row r="104" ht="42" customHeight="1">
      <x:c r="A104" s="21" t="n">
        <x:v>4</x:v>
      </x:c>
      <x:c r="B104" s="14" t="str">
        <x:v>Fantastic Four</x:v>
      </x:c>
      <x:c r="C104" s="23" t="str">
        <x:f>D104&amp;"/"&amp;E104</x:f>
        <x:v>2/2</x:v>
      </x:c>
      <x:c r="D104" s="21" t="n">
        <x:v>2</x:v>
      </x:c>
      <x:c r="E104" s="21" t="n">
        <x:v>2</x:v>
      </x:c>
      <x:c r="F104" s="23" t="str">
        <x:v>Rare</x:v>
      </x:c>
      <x:c r="G104" s="23" t="str">
        <x:v>Nature</x:v>
      </x:c>
      <x:c r="H104" s="23" t="str">
        <x:v>Good</x:v>
      </x:c>
      <x:c r="I104" s="13" t="str">
        <x:v>Passive: Your first 4 board slots each give +1/+1</x:v>
      </x:c>
      <x:c r="J104" s="13" t="str">
        <x:v>4</x:v>
      </x:c>
      <x:c r="K104" s="13" t="str">
        <x:v>MCU</x:v>
      </x:c>
      <x:c r="L104" s="12" t="str">
        <x:v>c120</x:v>
      </x:c>
    </x:row>
    <x:row r="105" ht="44" customHeight="1">
      <x:c r="A105" s="22" t="n">
        <x:v>4</x:v>
      </x:c>
      <x:c r="B105" s="19" t="str">
        <x:v>Furious Five</x:v>
      </x:c>
      <x:c r="C105" s="24" t="str">
        <x:f>D105&amp;"/"&amp;E105</x:f>
        <x:v>3/3</x:v>
      </x:c>
      <x:c r="D105" s="22" t="n">
        <x:v>3</x:v>
      </x:c>
      <x:c r="E105" s="22" t="n">
        <x:v>3</x:v>
      </x:c>
      <x:c r="F105" s="24" t="str">
        <x:v>Legendary</x:v>
      </x:c>
      <x:c r="G105" s="24" t="str">
        <x:v>Nature</x:v>
      </x:c>
      <x:c r="H105" s="24" t="str">
        <x:v>Good</x:v>
      </x:c>
      <x:c r="I105" s="18" t="str">
        <x:v>Passive: Whenever you play a Good friendly minion, it gains Divine Shield</x:v>
      </x:c>
      <x:c r="J105" s="18" t="str">
        <x:v>Resilience</x:v>
      </x:c>
      <x:c r="K105" s="18" t="str">
        <x:v>Kung-Fu Panda</x:v>
      </x:c>
      <x:c r="L105" s="17" t="str">
        <x:v>c121</x:v>
      </x:c>
    </x:row>
    <x:row r="106" ht="44" customHeight="1">
      <x:c r="A106" s="21" t="n">
        <x:v>4</x:v>
      </x:c>
      <x:c r="B106" s="14" t="str">
        <x:v>General Grievous</x:v>
      </x:c>
      <x:c r="C106" s="23" t="str">
        <x:f>D106&amp;"/"&amp;E106</x:f>
        <x:v>3/3</x:v>
      </x:c>
      <x:c r="D106" s="21" t="n">
        <x:v>3</x:v>
      </x:c>
      <x:c r="E106" s="21" t="n">
        <x:v>3</x:v>
      </x:c>
      <x:c r="F106" s="23" t="str">
        <x:v>Rare</x:v>
      </x:c>
      <x:c r="G106" s="23" t="str">
        <x:v>Tech</x:v>
      </x:c>
      <x:c r="H106" s="23" t="str">
        <x:v>Evil</x:v>
      </x:c>
      <x:c r="I106" s="13" t="str">
        <x:v>Passive: Whenever Grievous kills a minion, he permanently gains that minion's ATK</x:v>
      </x:c>
      <x:c r="J106" s="13" t="str">
        <x:v>A fine addition.</x:v>
      </x:c>
      <x:c r="K106" s="13" t="str">
        <x:v>Star Wars</x:v>
      </x:c>
      <x:c r="L106" s="12" t="str">
        <x:v>c036</x:v>
      </x:c>
    </x:row>
    <x:row r="107" ht="42" customHeight="1">
      <x:c r="A107" s="22" t="n">
        <x:v>4</x:v>
      </x:c>
      <x:c r="B107" s="19" t="str">
        <x:v>Gordon Freeman</x:v>
      </x:c>
      <x:c r="C107" s="24" t="str">
        <x:f>D107&amp;"/"&amp;E107</x:f>
        <x:v>1/3</x:v>
      </x:c>
      <x:c r="D107" s="22" t="n">
        <x:v>1</x:v>
      </x:c>
      <x:c r="E107" s="22" t="n">
        <x:v>3</x:v>
      </x:c>
      <x:c r="F107" s="24" t="str">
        <x:v>Legendary</x:v>
      </x:c>
      <x:c r="G107" s="24" t="str">
        <x:v>Tech</x:v>
      </x:c>
      <x:c r="H107" s="24" t="str">
        <x:v>Neutral</x:v>
      </x:c>
      <x:c r="I107" s="18" t="str">
        <x:v>Passive: All friendly minions have Charge</x:v>
      </x:c>
      <x:c r="J107" s="18" t="str">
        <x:v>I̵n̷ ̵t̵h̵e̷ ̵f̴l̵e̷s̷h̴…</x:v>
      </x:c>
      <x:c r="K107" s="18" t="str">
        <x:v>Half-life</x:v>
      </x:c>
      <x:c r="L107" s="17" t="str">
        <x:v>c081</x:v>
      </x:c>
    </x:row>
    <x:row r="108" ht="42" customHeight="1">
      <x:c r="A108" s="21" t="n">
        <x:v>4</x:v>
      </x:c>
      <x:c r="B108" s="14" t="str">
        <x:v>Gravelord Nito</x:v>
      </x:c>
      <x:c r="C108" s="23" t="str">
        <x:f>D108&amp;"/"&amp;E108</x:f>
        <x:v>2/3</x:v>
      </x:c>
      <x:c r="D108" s="21" t="n">
        <x:v>2</x:v>
      </x:c>
      <x:c r="E108" s="21" t="n">
        <x:v>3</x:v>
      </x:c>
      <x:c r="F108" s="23" t="str">
        <x:v>Rare</x:v>
      </x:c>
      <x:c r="G108" s="23" t="str">
        <x:v>Magic</x:v>
      </x:c>
      <x:c r="H108" s="23" t="str">
        <x:v>Neutral</x:v>
      </x:c>
      <x:c r="I108" s="13" t="str">
        <x:v>Passive: Gain +1/+1 when a minion dies</x:v>
      </x:c>
      <x:c r="J108" s="13" t="str">
        <x:v>The first of the dead keeps the count.</x:v>
      </x:c>
      <x:c r="K108" s="13" t="str">
        <x:v>Dark Souls</x:v>
      </x:c>
      <x:c r="L108" s="12" t="str">
        <x:v>c154</x:v>
      </x:c>
    </x:row>
    <x:row r="109" ht="42" customHeight="1">
      <x:c r="A109" s="22" t="n">
        <x:v>4</x:v>
      </x:c>
      <x:c r="B109" s="19" t="str">
        <x:v>Gums</x:v>
      </x:c>
      <x:c r="C109" s="24" t="str">
        <x:f>D109&amp;"/"&amp;E109</x:f>
        <x:v>2/2</x:v>
      </x:c>
      <x:c r="D109" s="22" t="n">
        <x:v>2</x:v>
      </x:c>
      <x:c r="E109" s="22" t="n">
        <x:v>2</x:v>
      </x:c>
      <x:c r="F109" s="24" t="str">
        <x:v>Epic</x:v>
      </x:c>
      <x:c r="G109" s="24" t="str">
        <x:v>Nature</x:v>
      </x:c>
      <x:c r="H109" s="24" t="str">
        <x:v>Evil</x:v>
      </x:c>
      <x:c r="I109" s="18" t="str">
        <x:v>Battlecry: Consume an enemy Nature minion with 4 HP or lower</x:v>
      </x:c>
      <x:c r="J109" s="18" t="str">
        <x:v>Insatiable hunger</x:v>
      </x:c>
      <x:c r="K109" s="18" t="str">
        <x:v>OPM</x:v>
      </x:c>
      <x:c r="L109" s="17" t="str">
        <x:v>c126</x:v>
      </x:c>
    </x:row>
    <x:row r="110" ht="42" customHeight="1">
      <x:c r="A110" s="21" t="n">
        <x:v>4</x:v>
      </x:c>
      <x:c r="B110" s="14" t="str">
        <x:v>Gyoro Gyoro</x:v>
      </x:c>
      <x:c r="C110" s="23" t="str">
        <x:f>D110&amp;"/"&amp;E110</x:f>
        <x:v>2/6</x:v>
      </x:c>
      <x:c r="D110" s="21" t="n">
        <x:v>2</x:v>
      </x:c>
      <x:c r="E110" s="21" t="n">
        <x:v>6</x:v>
      </x:c>
      <x:c r="F110" s="23" t="str">
        <x:v>Epic</x:v>
      </x:c>
      <x:c r="G110" s="23" t="str">
        <x:v>Magic</x:v>
      </x:c>
      <x:c r="H110" s="23" t="str">
        <x:v>Evil</x:v>
      </x:c>
      <x:c r="I110" s="13" t="str">
        <x:v>Ongoing: Give +2/+2 to a friendly Evil minion of your choice</x:v>
      </x:c>
      <x:c r="J110" s="13" t="str">
        <x:v>Puppet's puppet-master</x:v>
      </x:c>
      <x:c r="K110" s="13" t="str">
        <x:v>OPM</x:v>
      </x:c>
      <x:c r="L110" s="12" t="str">
        <x:v>c112</x:v>
      </x:c>
    </x:row>
    <x:row r="111" ht="42" customHeight="1">
      <x:c r="A111" s="22" t="n">
        <x:v>4</x:v>
      </x:c>
      <x:c r="B111" s="19" t="str">
        <x:v>Hypnos</x:v>
      </x:c>
      <x:c r="C111" s="24" t="str">
        <x:f>D111&amp;"/"&amp;E111</x:f>
        <x:v>0/5</x:v>
      </x:c>
      <x:c r="D111" s="22" t="n">
        <x:v>0</x:v>
      </x:c>
      <x:c r="E111" s="22" t="n">
        <x:v>5</x:v>
      </x:c>
      <x:c r="F111" s="24" t="str">
        <x:v>Rare</x:v>
      </x:c>
      <x:c r="G111" s="24" t="str">
        <x:v>Magic</x:v>
      </x:c>
      <x:c r="H111" s="24" t="str">
        <x:v>Neutral</x:v>
      </x:c>
      <x:c r="I111" s="18" t="str">
        <x:v>Taunt. Passive: Enemy minions that attack this become Chained</x:v>
      </x:c>
      <x:c r="J111" s="18" t="str">
        <x:v>He sleeps in his sleep</x:v>
      </x:c>
      <x:c r="K111" s="18" t="str">
        <x:v>Hades</x:v>
      </x:c>
      <x:c r="L111" s="17" t="str">
        <x:v>c067</x:v>
      </x:c>
    </x:row>
    <x:row r="112" ht="42" customHeight="1">
      <x:c r="A112" s="21" t="n">
        <x:v>4</x:v>
      </x:c>
      <x:c r="B112" s="14" t="str">
        <x:v>Kite</x:v>
      </x:c>
      <x:c r="C112" s="23" t="str">
        <x:f>D112&amp;"/"&amp;E112</x:f>
        <x:v>1/2</x:v>
      </x:c>
      <x:c r="D112" s="21" t="n">
        <x:v>1</x:v>
      </x:c>
      <x:c r="E112" s="21" t="n">
        <x:v>2</x:v>
      </x:c>
      <x:c r="F112" s="23" t="str">
        <x:v>Epic</x:v>
      </x:c>
      <x:c r="G112" s="23" t="str">
        <x:v>Magic</x:v>
      </x:c>
      <x:c r="H112" s="23" t="str">
        <x:v>Good</x:v>
      </x:c>
      <x:c r="I112" s="13" t="str">
        <x:v>Ongoing: Roll a dice to gain from +1/+1 to +3/+3</x:v>
      </x:c>
      <x:c r="J112" s="13" t="str">
        <x:v>Spin the wheel</x:v>
      </x:c>
      <x:c r="K112" s="13" t="str">
        <x:v>HxH</x:v>
      </x:c>
      <x:c r="L112" s="12" t="str">
        <x:v>c113</x:v>
      </x:c>
    </x:row>
    <x:row r="113" ht="60" customHeight="1">
      <x:c r="A113" s="22" t="n">
        <x:v>4</x:v>
      </x:c>
      <x:c r="B113" s="19" t="str">
        <x:v>Lord Voldemort</x:v>
      </x:c>
      <x:c r="C113" s="24" t="str">
        <x:f>D113&amp;"/"&amp;E113</x:f>
        <x:v>4/4</x:v>
      </x:c>
      <x:c r="D113" s="22" t="n">
        <x:v>4</x:v>
      </x:c>
      <x:c r="E113" s="22" t="n">
        <x:v>4</x:v>
      </x:c>
      <x:c r="F113" s="24" t="str">
        <x:v>Epic</x:v>
      </x:c>
      <x:c r="G113" s="24" t="str">
        <x:v>Magic</x:v>
      </x:c>
      <x:c r="H113" s="24" t="str">
        <x:v>Evil</x:v>
      </x:c>
      <x:c r="I113" s="18" t="str">
        <x:v>Passive: Any time Voldemort would die, destroy the lowest-HP other friendly minion instead and restore Voldemort to full HP. If he is alone, he dies normally</x:v>
      </x:c>
      <x:c r="J113" s="18" t="str">
        <x:v>Seven horcruxes</x:v>
      </x:c>
      <x:c r="K113" s="18" t="str">
        <x:v>Harry Potter</x:v>
      </x:c>
      <x:c r="L113" s="17" t="str">
        <x:v>c114</x:v>
      </x:c>
    </x:row>
    <x:row r="114" ht="42" customHeight="1">
      <x:c r="A114" s="21" t="n">
        <x:v>4</x:v>
      </x:c>
      <x:c r="B114" s="14" t="str">
        <x:v>Military Fort</x:v>
      </x:c>
      <x:c r="C114" s="23" t="str">
        <x:f>D114&amp;"/"&amp;E114</x:f>
        <x:v>4/4</x:v>
      </x:c>
      <x:c r="D114" s="21" t="n">
        <x:v>4</x:v>
      </x:c>
      <x:c r="E114" s="21" t="n">
        <x:v>4</x:v>
      </x:c>
      <x:c r="F114" s="23" t="str">
        <x:v>Rare</x:v>
      </x:c>
      <x:c r="G114" s="23" t="str">
        <x:v>Tech</x:v>
      </x:c>
      <x:c r="H114" s="23" t="str">
        <x:v>Neutral</x:v>
      </x:c>
      <x:c r="I114" s="13" t="str">
        <x:v>Taunt. Cannot attack</x:v>
      </x:c>
      <x:c r="J114" s="13" t="str">
        <x:v>-</x:v>
      </x:c>
      <x:c r="K114" s="13" t="str">
        <x:v>Basic</x:v>
      </x:c>
      <x:c r="L114" s="12" t="str">
        <x:v>c103</x:v>
      </x:c>
    </x:row>
    <x:row r="115" ht="44" customHeight="1">
      <x:c r="A115" s="22" t="n">
        <x:v>4</x:v>
      </x:c>
      <x:c r="B115" s="19" t="str">
        <x:v>Morpheus</x:v>
      </x:c>
      <x:c r="C115" s="24" t="str">
        <x:f>D115&amp;"/"&amp;E115</x:f>
        <x:v>2/3</x:v>
      </x:c>
      <x:c r="D115" s="22" t="n">
        <x:v>2</x:v>
      </x:c>
      <x:c r="E115" s="22" t="n">
        <x:v>3</x:v>
      </x:c>
      <x:c r="F115" s="24" t="str">
        <x:v>Epic</x:v>
      </x:c>
      <x:c r="G115" s="24" t="str">
        <x:v>Tech</x:v>
      </x:c>
      <x:c r="H115" s="24" t="str">
        <x:v>Good</x:v>
      </x:c>
      <x:c r="I115" s="18" t="str">
        <x:v>Battlecry: Discover a random Good or Evil minion from the deck. Draw it</x:v>
      </x:c>
      <x:c r="J115" s="18" t="str">
        <x:v>He doesn't offer truth—only the courage to face it</x:v>
      </x:c>
      <x:c r="K115" s="18" t="str">
        <x:v>Matrix</x:v>
      </x:c>
      <x:c r="L115" s="17" t="str">
        <x:v>c054</x:v>
      </x:c>
    </x:row>
    <x:row r="116" ht="44" customHeight="1">
      <x:c r="A116" s="21" t="n">
        <x:v>4</x:v>
      </x:c>
      <x:c r="B116" s="14" t="str">
        <x:v>Motoko Kusanagi</x:v>
      </x:c>
      <x:c r="C116" s="23" t="str">
        <x:f>D116&amp;"/"&amp;E116</x:f>
        <x:v>2/1</x:v>
      </x:c>
      <x:c r="D116" s="21" t="n">
        <x:v>2</x:v>
      </x:c>
      <x:c r="E116" s="21" t="n">
        <x:v>1</x:v>
      </x:c>
      <x:c r="F116" s="23" t="str">
        <x:v>Epic</x:v>
      </x:c>
      <x:c r="G116" s="23" t="str">
        <x:v>Tech</x:v>
      </x:c>
      <x:c r="H116" s="23" t="str">
        <x:v>Good</x:v>
      </x:c>
      <x:c r="I116" s="13" t="str">
        <x:v>Battlecry: Take control of an enemy Tech minion with 4 HP or less until the end of your next turn</x:v>
      </x:c>
      <x:c r="J116" s="13" t="str">
        <x:v>The ghost can choose the shell.</x:v>
      </x:c>
      <x:c r="K116" s="13" t="str">
        <x:v>Ghost in the Shell</x:v>
      </x:c>
      <x:c r="L116" s="12" t="str">
        <x:v>c181</x:v>
      </x:c>
    </x:row>
    <x:row r="117" ht="42" customHeight="1">
      <x:c r="A117" s="22" t="n">
        <x:v>4</x:v>
      </x:c>
      <x:c r="B117" s="19" t="str">
        <x:v>Musashi</x:v>
      </x:c>
      <x:c r="C117" s="24" t="str">
        <x:f>D117&amp;"/"&amp;E117</x:f>
        <x:v>2/1</x:v>
      </x:c>
      <x:c r="D117" s="22" t="n">
        <x:v>2</x:v>
      </x:c>
      <x:c r="E117" s="22" t="n">
        <x:v>1</x:v>
      </x:c>
      <x:c r="F117" s="24" t="str">
        <x:v>Legendary</x:v>
      </x:c>
      <x:c r="G117" s="24" t="str">
        <x:v>Nature</x:v>
      </x:c>
      <x:c r="H117" s="24" t="str">
        <x:v>Neutral</x:v>
      </x:c>
      <x:c r="I117" s="18" t="str">
        <x:v>Battlecry: Destroy all damaged enemy minions</x:v>
      </x:c>
      <x:c r="J117" s="18" t="str">
        <x:v>Another duel to win</x:v>
      </x:c>
      <x:c r="K117" s="18" t="str">
        <x:v>Baki</x:v>
      </x:c>
      <x:c r="L117" s="17" t="str">
        <x:v>c108</x:v>
      </x:c>
    </x:row>
    <x:row r="118" ht="44" customHeight="1">
      <x:c r="A118" s="21" t="n">
        <x:v>4</x:v>
      </x:c>
      <x:c r="B118" s="14" t="str">
        <x:v>Nine Hashira</x:v>
      </x:c>
      <x:c r="C118" s="23" t="str">
        <x:f>D118&amp;"/"&amp;E118</x:f>
        <x:v>3/3</x:v>
      </x:c>
      <x:c r="D118" s="21" t="n">
        <x:v>3</x:v>
      </x:c>
      <x:c r="E118" s="21" t="n">
        <x:v>3</x:v>
      </x:c>
      <x:c r="F118" s="23" t="str">
        <x:v>Legendary</x:v>
      </x:c>
      <x:c r="G118" s="23" t="str">
        <x:v>Nature</x:v>
      </x:c>
      <x:c r="H118" s="23" t="str">
        <x:v>Good</x:v>
      </x:c>
      <x:c r="I118" s="13" t="str">
        <x:v>Battlecry: Deal 1 damage to all enemy minions for each friendly Good minion</x:v>
      </x:c>
      <x:c r="J118" s="13" t="str">
        <x:v>Nine pillars holding the sky</x:v>
      </x:c>
      <x:c r="K118" s="13" t="str">
        <x:v>Demon Slayer</x:v>
      </x:c>
      <x:c r="L118" s="12" t="str">
        <x:v>c109</x:v>
      </x:c>
    </x:row>
    <x:row r="119" ht="42" customHeight="1">
      <x:c r="A119" s="22" t="n">
        <x:v>4</x:v>
      </x:c>
      <x:c r="B119" s="19" t="str">
        <x:v>Nyan</x:v>
      </x:c>
      <x:c r="C119" s="24" t="str">
        <x:f>D119&amp;"/"&amp;E119</x:f>
        <x:v>3/1</x:v>
      </x:c>
      <x:c r="D119" s="22" t="n">
        <x:v>3</x:v>
      </x:c>
      <x:c r="E119" s="22" t="n">
        <x:v>1</x:v>
      </x:c>
      <x:c r="F119" s="24" t="str">
        <x:v>Rare</x:v>
      </x:c>
      <x:c r="G119" s="24" t="str">
        <x:v>Nature</x:v>
      </x:c>
      <x:c r="H119" s="24" t="str">
        <x:v>Evil</x:v>
      </x:c>
      <x:c r="I119" s="18" t="str">
        <x:v>Charge. Passive: Attacks ignore Taunt and cannot be evaded</x:v>
      </x:c>
      <x:c r="J119" s="18" t="str">
        <x:v>Cat King</x:v>
      </x:c>
      <x:c r="K119" s="18" t="str">
        <x:v>OPM</x:v>
      </x:c>
      <x:c r="L119" s="17" t="str">
        <x:v>c127</x:v>
      </x:c>
    </x:row>
    <x:row r="120" ht="44" customHeight="1">
      <x:c r="A120" s="21" t="n">
        <x:v>4</x:v>
      </x:c>
      <x:c r="B120" s="14" t="str">
        <x:v>Pillar Men</x:v>
      </x:c>
      <x:c r="C120" s="23" t="str">
        <x:f>D120&amp;"/"&amp;E120</x:f>
        <x:v>5/4</x:v>
      </x:c>
      <x:c r="D120" s="21" t="n">
        <x:v>5</x:v>
      </x:c>
      <x:c r="E120" s="21" t="n">
        <x:v>4</x:v>
      </x:c>
      <x:c r="F120" s="23" t="str">
        <x:v>Rare</x:v>
      </x:c>
      <x:c r="G120" s="23" t="str">
        <x:v>Nature</x:v>
      </x:c>
      <x:c r="H120" s="23" t="str">
        <x:v>Evil</x:v>
      </x:c>
      <x:c r="I120" s="13" t="str">
        <x:v>Chained. Passive: Whenever Pillar Men kills a minion, restore itself to full health</x:v>
      </x:c>
      <x:c r="J120" s="13" t="str">
        <x:v>They outwaited the sun.</x:v>
      </x:c>
      <x:c r="K120" s="13" t="str">
        <x:v>JoJo</x:v>
      </x:c>
      <x:c r="L120" s="12" t="str">
        <x:v>c157</x:v>
      </x:c>
    </x:row>
    <x:row r="121" ht="44" customHeight="1">
      <x:c r="A121" s="22" t="n">
        <x:v>4</x:v>
      </x:c>
      <x:c r="B121" s="19" t="str">
        <x:v>Po</x:v>
      </x:c>
      <x:c r="C121" s="24" t="str">
        <x:f>D121&amp;"/"&amp;E121</x:f>
        <x:v>3/3</x:v>
      </x:c>
      <x:c r="D121" s="22" t="n">
        <x:v>3</x:v>
      </x:c>
      <x:c r="E121" s="22" t="n">
        <x:v>3</x:v>
      </x:c>
      <x:c r="F121" s="24" t="str">
        <x:v>Mythic</x:v>
      </x:c>
      <x:c r="G121" s="24" t="str">
        <x:v>Nature</x:v>
      </x:c>
      <x:c r="H121" s="24" t="str">
        <x:v>Good</x:v>
      </x:c>
      <x:c r="I121" s="18" t="str">
        <x:v>Passive: Gain +1/+1 each time you survive after attacking or defending</x:v>
      </x:c>
      <x:c r="J121" s="18" t="str">
        <x:v>Chosen by accident. Or destiny?</x:v>
      </x:c>
      <x:c r="K121" s="18" t="str">
        <x:v>Kung-Fu Panda</x:v>
      </x:c>
      <x:c r="L121" s="17" t="str">
        <x:v>c110</x:v>
      </x:c>
    </x:row>
    <x:row r="122" ht="44" customHeight="1">
      <x:c r="A122" s="21" t="n">
        <x:v>4</x:v>
      </x:c>
      <x:c r="B122" s="14" t="str">
        <x:v>Ragnaros</x:v>
      </x:c>
      <x:c r="C122" s="23" t="str">
        <x:f>D122&amp;"/"&amp;E122</x:f>
        <x:v>3/3</x:v>
      </x:c>
      <x:c r="D122" s="21" t="n">
        <x:v>3</x:v>
      </x:c>
      <x:c r="E122" s="21" t="n">
        <x:v>3</x:v>
      </x:c>
      <x:c r="F122" s="23" t="str">
        <x:v>Rare</x:v>
      </x:c>
      <x:c r="G122" s="23" t="str">
        <x:v>Magic</x:v>
      </x:c>
      <x:c r="H122" s="23" t="str">
        <x:v>Evil</x:v>
      </x:c>
      <x:c r="I122" s="13" t="str">
        <x:v>Cannot attack. Ongoing: Deal 3 damage to a random enemy minion or the enemy core</x:v>
      </x:c>
      <x:c r="J122" s="13" t="str">
        <x:v>Summoned. Once again.</x:v>
      </x:c>
      <x:c r="K122" s="13" t="str">
        <x:v>Hearthstone</x:v>
      </x:c>
      <x:c r="L122" s="12" t="str">
        <x:v>c031</x:v>
      </x:c>
    </x:row>
    <x:row r="123" ht="42" customHeight="1">
      <x:c r="A123" s="22" t="n">
        <x:v>4</x:v>
      </x:c>
      <x:c r="B123" s="19" t="str">
        <x:v>Rudeus Greyrat</x:v>
      </x:c>
      <x:c r="C123" s="24" t="str">
        <x:f>D123&amp;"/"&amp;E123</x:f>
        <x:v>2/2</x:v>
      </x:c>
      <x:c r="D123" s="22" t="n">
        <x:v>2</x:v>
      </x:c>
      <x:c r="E123" s="22" t="n">
        <x:v>2</x:v>
      </x:c>
      <x:c r="F123" s="24" t="str">
        <x:v>Legendary</x:v>
      </x:c>
      <x:c r="G123" s="24" t="str">
        <x:v>Magic</x:v>
      </x:c>
      <x:c r="H123" s="24" t="str">
        <x:v>Good</x:v>
      </x:c>
      <x:c r="I123" s="18" t="str">
        <x:v>Divine Shield. Passive: Your Hero Power costs 0</x:v>
      </x:c>
      <x:c r="J123" s="18" t="str">
        <x:v>Silent casting, overwhelming force.</x:v>
      </x:c>
      <x:c r="K123" s="18" t="str">
        <x:v>Mushoku Tensei</x:v>
      </x:c>
      <x:c r="L123" s="17" t="str">
        <x:v>c179</x:v>
      </x:c>
    </x:row>
    <x:row r="124" ht="42" customHeight="1">
      <x:c r="A124" s="21" t="n">
        <x:v>4</x:v>
      </x:c>
      <x:c r="B124" s="14" t="str">
        <x:v>Sandworm</x:v>
      </x:c>
      <x:c r="C124" s="23" t="str">
        <x:f>D124&amp;"/"&amp;E124</x:f>
        <x:v>3/3</x:v>
      </x:c>
      <x:c r="D124" s="21" t="n">
        <x:v>3</x:v>
      </x:c>
      <x:c r="E124" s="21" t="n">
        <x:v>3</x:v>
      </x:c>
      <x:c r="F124" s="23" t="str">
        <x:v>Rare</x:v>
      </x:c>
      <x:c r="G124" s="23" t="str">
        <x:v>Nature</x:v>
      </x:c>
      <x:c r="H124" s="23" t="str">
        <x:v>Neutral</x:v>
      </x:c>
      <x:c r="I124" s="13" t="str">
        <x:v>Taunt. Passive: Cannot be damaged by minions with 2 or less ATK</x:v>
      </x:c>
      <x:c r="J124" s="13" t="str">
        <x:v>The desert itself has teeth.</x:v>
      </x:c>
      <x:c r="K124" s="13" t="str">
        <x:v>Dune</x:v>
      </x:c>
      <x:c r="L124" s="12" t="str">
        <x:v>c006</x:v>
      </x:c>
    </x:row>
    <x:row r="125" ht="42" customHeight="1">
      <x:c r="A125" s="22" t="n">
        <x:v>4</x:v>
      </x:c>
      <x:c r="B125" s="19" t="str">
        <x:v>Sans</x:v>
      </x:c>
      <x:c r="C125" s="24" t="str">
        <x:f>D125&amp;"/"&amp;E125</x:f>
        <x:v>2/1</x:v>
      </x:c>
      <x:c r="D125" s="22" t="n">
        <x:v>2</x:v>
      </x:c>
      <x:c r="E125" s="22" t="n">
        <x:v>1</x:v>
      </x:c>
      <x:c r="F125" s="24" t="str">
        <x:v>Epic</x:v>
      </x:c>
      <x:c r="G125" s="24" t="str">
        <x:v>Magic</x:v>
      </x:c>
      <x:c r="H125" s="24" t="str">
        <x:v>Neutral</x:v>
      </x:c>
      <x:c r="I125" s="18" t="str">
        <x:v>Passive: Evade 60% of attacks</x:v>
      </x:c>
      <x:c r="J125" s="18" t="str">
        <x:v>HELLO, WORLD!</x:v>
      </x:c>
      <x:c r="K125" s="18" t="str">
        <x:v>Undertale</x:v>
      </x:c>
      <x:c r="L125" s="17" t="str">
        <x:v>c063</x:v>
      </x:c>
    </x:row>
    <x:row r="126" ht="42" customHeight="1">
      <x:c r="A126" s="21" t="n">
        <x:v>4</x:v>
      </x:c>
      <x:c r="B126" s="14" t="str">
        <x:v>Spider-Man</x:v>
      </x:c>
      <x:c r="C126" s="23" t="str">
        <x:f>D126&amp;"/"&amp;E126</x:f>
        <x:v>3/3</x:v>
      </x:c>
      <x:c r="D126" s="21" t="n">
        <x:v>3</x:v>
      </x:c>
      <x:c r="E126" s="21" t="n">
        <x:v>3</x:v>
      </x:c>
      <x:c r="F126" s="23" t="str">
        <x:v>Legendary</x:v>
      </x:c>
      <x:c r="G126" s="23" t="str">
        <x:v>Nature</x:v>
      </x:c>
      <x:c r="H126" s="23" t="str">
        <x:v>Good</x:v>
      </x:c>
      <x:c r="I126" s="13" t="str">
        <x:v>Battlecry: Freeze an enemy minion and halve its ATK</x:v>
      </x:c>
      <x:c r="J126" s="13" t="str">
        <x:v>Responsibility.</x:v>
      </x:c>
      <x:c r="K126" s="13" t="str">
        <x:v>MCU</x:v>
      </x:c>
      <x:c r="L126" s="12" t="str">
        <x:v>c035</x:v>
      </x:c>
    </x:row>
    <x:row r="127" ht="42" customHeight="1">
      <x:c r="A127" s="22" t="n">
        <x:v>4</x:v>
      </x:c>
      <x:c r="B127" s="19" t="str">
        <x:v>Wall of Flesh</x:v>
      </x:c>
      <x:c r="C127" s="24" t="str">
        <x:f>D127&amp;"/"&amp;E127</x:f>
        <x:v>2/5</x:v>
      </x:c>
      <x:c r="D127" s="22" t="n">
        <x:v>2</x:v>
      </x:c>
      <x:c r="E127" s="22" t="n">
        <x:v>5</x:v>
      </x:c>
      <x:c r="F127" s="24" t="str">
        <x:v>Rare</x:v>
      </x:c>
      <x:c r="G127" s="24" t="str">
        <x:v>Nature</x:v>
      </x:c>
      <x:c r="H127" s="24" t="str">
        <x:v>Evil</x:v>
      </x:c>
      <x:c r="I127" s="18" t="str">
        <x:v>Taunt. Ongoing: Deal 1 damage to all enemy minions</x:v>
      </x:c>
      <x:c r="J127" s="18" t="str">
        <x:v>A living barricade</x:v>
      </x:c>
      <x:c r="K127" s="18" t="str">
        <x:v>Terraria</x:v>
      </x:c>
      <x:c r="L127" s="17" t="str">
        <x:v>c122</x:v>
      </x:c>
    </x:row>
    <x:row r="128" ht="42" customHeight="1">
      <x:c r="A128" s="21" t="n">
        <x:v>4</x:v>
      </x:c>
      <x:c r="B128" s="14" t="str">
        <x:v>Xenomorph Queen</x:v>
      </x:c>
      <x:c r="C128" s="23" t="str">
        <x:f>D128&amp;"/"&amp;E128</x:f>
        <x:v>1/4</x:v>
      </x:c>
      <x:c r="D128" s="21" t="n">
        <x:v>1</x:v>
      </x:c>
      <x:c r="E128" s="21" t="n">
        <x:v>4</x:v>
      </x:c>
      <x:c r="F128" s="23" t="str">
        <x:v>Rare</x:v>
      </x:c>
      <x:c r="G128" s="23" t="str">
        <x:v>Nature</x:v>
      </x:c>
      <x:c r="H128" s="23" t="str">
        <x:v>Evil</x:v>
      </x:c>
      <x:c r="I128" s="13" t="str">
        <x:v>Passive: Whenever a friendly minion dies summon a 1/1 Larva</x:v>
      </x:c>
      <x:c r="J128" s="13" t="str">
        <x:v>The hive has a mother.</x:v>
      </x:c>
      <x:c r="K128" s="13" t="str">
        <x:v>Alien</x:v>
      </x:c>
      <x:c r="L128" s="12" t="str">
        <x:v>c182</x:v>
      </x:c>
    </x:row>
    <x:row r="129" ht="44" customHeight="1">
      <x:c r="A129" s="22" t="n">
        <x:v>4</x:v>
      </x:c>
      <x:c r="B129" s="19" t="str">
        <x:v>Yubaba</x:v>
      </x:c>
      <x:c r="C129" s="24" t="str">
        <x:f>D129&amp;"/"&amp;E129</x:f>
        <x:v>2/2</x:v>
      </x:c>
      <x:c r="D129" s="22" t="n">
        <x:v>2</x:v>
      </x:c>
      <x:c r="E129" s="22" t="n">
        <x:v>2</x:v>
      </x:c>
      <x:c r="F129" s="24" t="str">
        <x:v>Mythic</x:v>
      </x:c>
      <x:c r="G129" s="24" t="str">
        <x:v>Magic</x:v>
      </x:c>
      <x:c r="H129" s="24" t="str">
        <x:v>Evil</x:v>
      </x:c>
      <x:c r="I129" s="18" t="str">
        <x:v>Battlecry: Devolve your enemy minions into random ones that cost 1 less mana</x:v>
      </x:c>
      <x:c r="J129" s="18" t="str">
        <x:v>Are you looking for employment?</x:v>
      </x:c>
      <x:c r="K129" s="18" t="str">
        <x:v>Spirited Away</x:v>
      </x:c>
      <x:c r="L129" s="17" t="str">
        <x:v>c034</x:v>
      </x:c>
    </x:row>
    <x:row r="130" ht="42" customHeight="1">
      <x:c r="A130" s="21" t="n">
        <x:v>4</x:v>
      </x:c>
      <x:c r="B130" s="14" t="str">
        <x:v>Yujiro</x:v>
      </x:c>
      <x:c r="C130" s="23" t="str">
        <x:f>D130&amp;"/"&amp;E130</x:f>
        <x:v>4/4</x:v>
      </x:c>
      <x:c r="D130" s="21" t="n">
        <x:v>4</x:v>
      </x:c>
      <x:c r="E130" s="21" t="n">
        <x:v>4</x:v>
      </x:c>
      <x:c r="F130" s="23" t="str">
        <x:v>Mythic</x:v>
      </x:c>
      <x:c r="G130" s="23" t="str">
        <x:v>Nature</x:v>
      </x:c>
      <x:c r="H130" s="23" t="str">
        <x:v>Evil</x:v>
      </x:c>
      <x:c r="I130" s="13" t="str">
        <x:v>Passive: Immune to Nature minions</x:v>
      </x:c>
      <x:c r="J130" s="13" t="str">
        <x:v>The strongest man alive.</x:v>
      </x:c>
      <x:c r="K130" s="13" t="str">
        <x:v>Baki</x:v>
      </x:c>
      <x:c r="L130" s="12" t="str">
        <x:v>c033</x:v>
      </x:c>
    </x:row>
    <x:row r="131" ht="42" customHeight="1">
      <x:c r="A131" s="22" t="n">
        <x:v>3</x:v>
      </x:c>
      <x:c r="B131" s="19" t="str">
        <x:v>Aizawa</x:v>
      </x:c>
      <x:c r="C131" s="24" t="str">
        <x:f>D131&amp;"/"&amp;E131</x:f>
        <x:v>2/2</x:v>
      </x:c>
      <x:c r="D131" s="22" t="n">
        <x:v>2</x:v>
      </x:c>
      <x:c r="E131" s="22" t="n">
        <x:v>2</x:v>
      </x:c>
      <x:c r="F131" s="24" t="str">
        <x:v>Epic</x:v>
      </x:c>
      <x:c r="G131" s="24" t="str">
        <x:v>Magic</x:v>
      </x:c>
      <x:c r="H131" s="24" t="str">
        <x:v>Good</x:v>
      </x:c>
      <x:c r="I131" s="18" t="str">
        <x:v>Battlecry: Silence an enemy minion of your choice</x:v>
      </x:c>
      <x:c r="J131" s="18" t="str">
        <x:v>All it takes is one look</x:v>
      </x:c>
      <x:c r="K131" s="18" t="str">
        <x:v>MHA</x:v>
      </x:c>
      <x:c r="L131" s="17" t="str">
        <x:v>c125</x:v>
      </x:c>
    </x:row>
    <x:row r="132" ht="42" customHeight="1">
      <x:c r="A132" s="21" t="n">
        <x:v>3</x:v>
      </x:c>
      <x:c r="B132" s="14" t="str">
        <x:v>Dabi</x:v>
      </x:c>
      <x:c r="C132" s="23" t="str">
        <x:f>D132&amp;"/"&amp;E132</x:f>
        <x:v>3/3</x:v>
      </x:c>
      <x:c r="D132" s="21" t="n">
        <x:v>3</x:v>
      </x:c>
      <x:c r="E132" s="21" t="n">
        <x:v>3</x:v>
      </x:c>
      <x:c r="F132" s="23" t="str">
        <x:v>Epic</x:v>
      </x:c>
      <x:c r="G132" s="23" t="str">
        <x:v>Magic</x:v>
      </x:c>
      <x:c r="H132" s="23" t="str">
        <x:v>Evil</x:v>
      </x:c>
      <x:c r="I132" s="13" t="str">
        <x:v>Battlecry: Deal 1 damage to all other minions</x:v>
      </x:c>
      <x:c r="J132" s="13" t="str">
        <x:v>He burns with anger</x:v>
      </x:c>
      <x:c r="K132" s="13" t="str">
        <x:v>MHA</x:v>
      </x:c>
      <x:c r="L132" s="12" t="str">
        <x:v>c129</x:v>
      </x:c>
    </x:row>
    <x:row r="133" ht="44" customHeight="1">
      <x:c r="A133" s="22" t="n">
        <x:v>3</x:v>
      </x:c>
      <x:c r="B133" s="19" t="str">
        <x:v>Darkwing</x:v>
      </x:c>
      <x:c r="C133" s="24" t="str">
        <x:f>D133&amp;"/"&amp;E133</x:f>
        <x:v>2/2</x:v>
      </x:c>
      <x:c r="D133" s="22" t="n">
        <x:v>2</x:v>
      </x:c>
      <x:c r="E133" s="22" t="n">
        <x:v>2</x:v>
      </x:c>
      <x:c r="F133" s="24" t="str">
        <x:v>Mythic</x:v>
      </x:c>
      <x:c r="G133" s="24" t="str">
        <x:v>Tech</x:v>
      </x:c>
      <x:c r="H133" s="24" t="str">
        <x:v>Good</x:v>
      </x:c>
      <x:c r="I133" s="18" t="str">
        <x:v>Deathrattle: The minion which kills this minion also dies right after</x:v>
      </x:c>
      <x:c r="J133" s="18" t="str">
        <x:v>He knew the cost</x:v>
      </x:c>
      <x:c r="K133" s="18" t="str">
        <x:v>Invincible</x:v>
      </x:c>
      <x:c r="L133" s="17" t="str">
        <x:v>c123</x:v>
      </x:c>
    </x:row>
    <x:row r="134" ht="42" customHeight="1">
      <x:c r="A134" s="21" t="n">
        <x:v>3</x:v>
      </x:c>
      <x:c r="B134" s="14" t="str">
        <x:v>Deep Sea King</x:v>
      </x:c>
      <x:c r="C134" s="23" t="str">
        <x:f>D134&amp;"/"&amp;E134</x:f>
        <x:v>3/3</x:v>
      </x:c>
      <x:c r="D134" s="21" t="n">
        <x:v>3</x:v>
      </x:c>
      <x:c r="E134" s="21" t="n">
        <x:v>3</x:v>
      </x:c>
      <x:c r="F134" s="23" t="str">
        <x:v>Rare</x:v>
      </x:c>
      <x:c r="G134" s="23" t="str">
        <x:v>Nature</x:v>
      </x:c>
      <x:c r="H134" s="23" t="str">
        <x:v>Evil</x:v>
      </x:c>
      <x:c r="I134" s="13" t="str">
        <x:v>Passive: Costs 3 less while any minion is Frozen or Chained</x:v>
      </x:c>
      <x:c r="J134" s="13" t="str">
        <x:v>This is why you stay out of the ocean.</x:v>
      </x:c>
      <x:c r="K134" s="13" t="str">
        <x:v>OPM</x:v>
      </x:c>
      <x:c r="L134" s="12" t="str">
        <x:v>c039</x:v>
      </x:c>
    </x:row>
    <x:row r="135" ht="42" customHeight="1">
      <x:c r="A135" s="22" t="n">
        <x:v>3</x:v>
      </x:c>
      <x:c r="B135" s="19" t="str">
        <x:v>Eye of Sauron</x:v>
      </x:c>
      <x:c r="C135" s="24" t="str">
        <x:f>D135&amp;"/"&amp;E135</x:f>
        <x:v>0/4</x:v>
      </x:c>
      <x:c r="D135" s="22" t="n">
        <x:v>0</x:v>
      </x:c>
      <x:c r="E135" s="22" t="n">
        <x:v>4</x:v>
      </x:c>
      <x:c r="F135" s="24" t="str">
        <x:v>Legendary</x:v>
      </x:c>
      <x:c r="G135" s="24" t="str">
        <x:v>Magic</x:v>
      </x:c>
      <x:c r="H135" s="24" t="str">
        <x:v>Evil</x:v>
      </x:c>
      <x:c r="I135" s="18" t="str">
        <x:v>Passive: Enemy Magic minions cost 2 more</x:v>
      </x:c>
      <x:c r="J135" s="18" t="str">
        <x:v>Try and hide.</x:v>
      </x:c>
      <x:c r="K135" s="18" t="str">
        <x:v>Lord of the Rings</x:v>
      </x:c>
      <x:c r="L135" s="17" t="str">
        <x:v>c037</x:v>
      </x:c>
    </x:row>
    <x:row r="136" ht="44" customHeight="1">
      <x:c r="A136" s="21" t="n">
        <x:v>3</x:v>
      </x:c>
      <x:c r="B136" s="14" t="str">
        <x:v>Flowey</x:v>
      </x:c>
      <x:c r="C136" s="23" t="str">
        <x:f>D136&amp;"/"&amp;E136</x:f>
        <x:v>2/2</x:v>
      </x:c>
      <x:c r="D136" s="21" t="n">
        <x:v>2</x:v>
      </x:c>
      <x:c r="E136" s="21" t="n">
        <x:v>2</x:v>
      </x:c>
      <x:c r="F136" s="23" t="str">
        <x:v>Legendary</x:v>
      </x:c>
      <x:c r="G136" s="23" t="str">
        <x:v>Magic</x:v>
      </x:c>
      <x:c r="H136" s="23" t="str">
        <x:v>Evil</x:v>
      </x:c>
      <x:c r="I136" s="13" t="str">
        <x:v>Battlecry: Save your core's current HP. Deathrattle: Set your core to the saved HP</x:v>
      </x:c>
      <x:c r="J136" s="13" t="str">
        <x:v>Friendliness is a face you put on.</x:v>
      </x:c>
      <x:c r="K136" s="13" t="str">
        <x:v>Undertale</x:v>
      </x:c>
      <x:c r="L136" s="12" t="str">
        <x:v>c161</x:v>
      </x:c>
    </x:row>
    <x:row r="137" ht="44" customHeight="1">
      <x:c r="A137" s="22" t="n">
        <x:v>3</x:v>
      </x:c>
      <x:c r="B137" s="19" t="str">
        <x:v>Giant Crystal</x:v>
      </x:c>
      <x:c r="C137" s="24" t="str">
        <x:f>D137&amp;"/"&amp;E137</x:f>
        <x:v>1/1</x:v>
      </x:c>
      <x:c r="D137" s="22" t="n">
        <x:v>1</x:v>
      </x:c>
      <x:c r="E137" s="22" t="n">
        <x:v>1</x:v>
      </x:c>
      <x:c r="F137" s="24" t="str">
        <x:v>Rare</x:v>
      </x:c>
      <x:c r="G137" s="24" t="str">
        <x:v>Magic</x:v>
      </x:c>
      <x:c r="H137" s="24" t="str">
        <x:v>Neutral</x:v>
      </x:c>
      <x:c r="I137" s="18" t="str">
        <x:v>Divine Shield. Ongoing: Give all other friendly Magic minions +2/+1</x:v>
      </x:c>
      <x:c r="J137" s="18" t="str">
        <x:v>Spawnpoint</x:v>
      </x:c>
      <x:c r="K137" s="18" t="str">
        <x:v>Core</x:v>
      </x:c>
      <x:c r="L137" s="17" t="str">
        <x:v>c137</x:v>
      </x:c>
    </x:row>
    <x:row r="138" ht="42" customHeight="1">
      <x:c r="A138" s="21" t="n">
        <x:v>3</x:v>
      </x:c>
      <x:c r="B138" s="14" t="str">
        <x:v>Giant Tree</x:v>
      </x:c>
      <x:c r="C138" s="23" t="str">
        <x:f>D138&amp;"/"&amp;E138</x:f>
        <x:v>1/1</x:v>
      </x:c>
      <x:c r="D138" s="21" t="n">
        <x:v>1</x:v>
      </x:c>
      <x:c r="E138" s="21" t="n">
        <x:v>1</x:v>
      </x:c>
      <x:c r="F138" s="23" t="str">
        <x:v>Rare</x:v>
      </x:c>
      <x:c r="G138" s="23" t="str">
        <x:v>Nature</x:v>
      </x:c>
      <x:c r="H138" s="23" t="str">
        <x:v>Neutral</x:v>
      </x:c>
      <x:c r="I138" s="13" t="str">
        <x:v>Passive: All other friendly Nature minions have +2/+1</x:v>
      </x:c>
      <x:c r="J138" s="13" t="str">
        <x:v>Older than the roots it feeds.</x:v>
      </x:c>
      <x:c r="K138" s="13" t="str">
        <x:v>Core</x:v>
      </x:c>
      <x:c r="L138" s="12" t="str">
        <x:v>c138</x:v>
      </x:c>
    </x:row>
    <x:row r="139" ht="44" customHeight="1">
      <x:c r="A139" s="22" t="n">
        <x:v>3</x:v>
      </x:c>
      <x:c r="B139" s="19" t="str">
        <x:v>Godrick the Grafted</x:v>
      </x:c>
      <x:c r="C139" s="24" t="str">
        <x:f>D139&amp;"/"&amp;E139</x:f>
        <x:v>2/2</x:v>
      </x:c>
      <x:c r="D139" s="22" t="n">
        <x:v>2</x:v>
      </x:c>
      <x:c r="E139" s="22" t="n">
        <x:v>2</x:v>
      </x:c>
      <x:c r="F139" s="24" t="str">
        <x:v>Epic</x:v>
      </x:c>
      <x:c r="G139" s="24" t="str">
        <x:v>Magic</x:v>
      </x:c>
      <x:c r="H139" s="24" t="str">
        <x:v>Evil</x:v>
      </x:c>
      <x:c r="I139" s="18" t="str">
        <x:v>Battlecry: Destroy a friendly minion to gain its stats and effects</x:v>
      </x:c>
      <x:c r="J139" s="18" t="str">
        <x:v>Grafted</x:v>
      </x:c>
      <x:c r="K139" s="18" t="str">
        <x:v>Elden Ring</x:v>
      </x:c>
      <x:c r="L139" s="17" t="str">
        <x:v>c130</x:v>
      </x:c>
    </x:row>
    <x:row r="140" ht="42" customHeight="1">
      <x:c r="A140" s="21" t="n">
        <x:v>3</x:v>
      </x:c>
      <x:c r="B140" s="14" t="str">
        <x:v>Guts</x:v>
      </x:c>
      <x:c r="C140" s="23" t="str">
        <x:f>D140&amp;"/"&amp;E140</x:f>
        <x:v>1/1</x:v>
      </x:c>
      <x:c r="D140" s="21" t="n">
        <x:v>1</x:v>
      </x:c>
      <x:c r="E140" s="21" t="n">
        <x:v>1</x:v>
      </x:c>
      <x:c r="F140" s="23" t="str">
        <x:v>Rare</x:v>
      </x:c>
      <x:c r="G140" s="23" t="str">
        <x:v>Nature</x:v>
      </x:c>
      <x:c r="H140" s="23" t="str">
        <x:v>Neutral</x:v>
      </x:c>
      <x:c r="I140" s="13" t="str">
        <x:v>Passive: Gains +1/+1 for each 5 HP your Core is missing</x:v>
      </x:c>
      <x:c r="J140" s="13" t="str">
        <x:v>Struggle is the only answer.</x:v>
      </x:c>
      <x:c r="K140" s="13" t="str">
        <x:v>Berserk</x:v>
      </x:c>
      <x:c r="L140" s="12" t="str">
        <x:v>c185</x:v>
      </x:c>
    </x:row>
    <x:row r="141" ht="42" customHeight="1">
      <x:c r="A141" s="22" t="n">
        <x:v>3</x:v>
      </x:c>
      <x:c r="B141" s="19" t="str">
        <x:v>Illumi</x:v>
      </x:c>
      <x:c r="C141" s="24" t="str">
        <x:f>D141&amp;"/"&amp;E141</x:f>
        <x:v>1/1</x:v>
      </x:c>
      <x:c r="D141" s="22" t="n">
        <x:v>1</x:v>
      </x:c>
      <x:c r="E141" s="22" t="n">
        <x:v>1</x:v>
      </x:c>
      <x:c r="F141" s="24" t="str">
        <x:v>Epic</x:v>
      </x:c>
      <x:c r="G141" s="24" t="str">
        <x:v>Magic</x:v>
      </x:c>
      <x:c r="H141" s="24" t="str">
        <x:v>Evil</x:v>
      </x:c>
      <x:c r="I141" s="18" t="str">
        <x:v>Battlecry: Gain control of a minion with 2 HP or less</x:v>
      </x:c>
      <x:c r="J141" s="18" t="str">
        <x:v>Control</x:v>
      </x:c>
      <x:c r="K141" s="18" t="str">
        <x:v>HxH</x:v>
      </x:c>
      <x:c r="L141" s="17" t="str">
        <x:v>c131</x:v>
      </x:c>
    </x:row>
    <x:row r="142" ht="42" customHeight="1">
      <x:c r="A142" s="21" t="n">
        <x:v>3</x:v>
      </x:c>
      <x:c r="B142" s="14" t="str">
        <x:v>Kento Nanami</x:v>
      </x:c>
      <x:c r="C142" s="23" t="str">
        <x:f>D142&amp;"/"&amp;E142</x:f>
        <x:v>1/1</x:v>
      </x:c>
      <x:c r="D142" s="21" t="n">
        <x:v>1</x:v>
      </x:c>
      <x:c r="E142" s="21" t="n">
        <x:v>1</x:v>
      </x:c>
      <x:c r="F142" s="23" t="str">
        <x:v>Epic</x:v>
      </x:c>
      <x:c r="G142" s="23" t="str">
        <x:v>Magic</x:v>
      </x:c>
      <x:c r="H142" s="23" t="str">
        <x:v>Good</x:v>
      </x:c>
      <x:c r="I142" s="13" t="str">
        <x:v>Battlecry: Set an enemy minion's HP to 1</x:v>
      </x:c>
      <x:c r="J142" s="13" t="str">
        <x:v>7:3 Ratio Technique</x:v>
      </x:c>
      <x:c r="K142" s="13" t="str">
        <x:v>Jujutsu Kaisen</x:v>
      </x:c>
      <x:c r="L142" s="12" t="str">
        <x:v>c132</x:v>
      </x:c>
    </x:row>
    <x:row r="143" ht="60" customHeight="1">
      <x:c r="A143" s="22" t="n">
        <x:v>3</x:v>
      </x:c>
      <x:c r="B143" s="19" t="str">
        <x:v>Knov</x:v>
      </x:c>
      <x:c r="C143" s="24" t="str">
        <x:f>D143&amp;"/"&amp;E143</x:f>
        <x:v>1/1</x:v>
      </x:c>
      <x:c r="D143" s="22" t="n">
        <x:v>1</x:v>
      </x:c>
      <x:c r="E143" s="22" t="n">
        <x:v>1</x:v>
      </x:c>
      <x:c r="F143" s="24" t="str">
        <x:v>Rare</x:v>
      </x:c>
      <x:c r="G143" s="24" t="str">
        <x:v>Magic</x:v>
      </x:c>
      <x:c r="H143" s="24" t="str">
        <x:v>Good</x:v>
      </x:c>
      <x:c r="I143" s="18" t="str">
        <x:v>Battlecry: Choose a friendly and an enemy minion to place in the pocket room, removing them from the board. After 2 turns, return the minion with the higher ATK</x:v>
      </x:c>
      <x:c r="J143" s="18" t="str">
        <x:v>The Room</x:v>
      </x:c>
      <x:c r="K143" s="18" t="str">
        <x:v>HxH</x:v>
      </x:c>
      <x:c r="L143" s="17" t="str">
        <x:v>c124</x:v>
      </x:c>
    </x:row>
    <x:row r="144" ht="44" customHeight="1">
      <x:c r="A144" s="21" t="n">
        <x:v>3</x:v>
      </x:c>
      <x:c r="B144" s="14" t="str">
        <x:v>Knuckle</x:v>
      </x:c>
      <x:c r="C144" s="23" t="str">
        <x:f>D144&amp;"/"&amp;E144</x:f>
        <x:v>0/3</x:v>
      </x:c>
      <x:c r="D144" s="21" t="n">
        <x:v>0</x:v>
      </x:c>
      <x:c r="E144" s="21" t="n">
        <x:v>3</x:v>
      </x:c>
      <x:c r="F144" s="23" t="str">
        <x:v>Rare</x:v>
      </x:c>
      <x:c r="G144" s="23" t="str">
        <x:v>Magic</x:v>
      </x:c>
      <x:c r="H144" s="23" t="str">
        <x:v>Good</x:v>
      </x:c>
      <x:c r="I144" s="13" t="str">
        <x:v>Taunt. Passive: After the enemy minion attacks this minion, it can't attack for 2 turns</x:v>
      </x:c>
      <x:c r="J144" s="13" t="str">
        <x:v>Taxes</x:v>
      </x:c>
      <x:c r="K144" s="13" t="str">
        <x:v>HxH</x:v>
      </x:c>
      <x:c r="L144" s="12" t="str">
        <x:v>c135</x:v>
      </x:c>
    </x:row>
    <x:row r="145" ht="42" customHeight="1">
      <x:c r="A145" s="22" t="n">
        <x:v>3</x:v>
      </x:c>
      <x:c r="B145" s="19" t="str">
        <x:v>Lu Bu</x:v>
      </x:c>
      <x:c r="C145" s="24" t="str">
        <x:f>D145&amp;"/"&amp;E145</x:f>
        <x:v>3/2</x:v>
      </x:c>
      <x:c r="D145" s="22" t="n">
        <x:v>3</x:v>
      </x:c>
      <x:c r="E145" s="22" t="n">
        <x:v>2</x:v>
      </x:c>
      <x:c r="F145" s="24" t="str">
        <x:v>Rare</x:v>
      </x:c>
      <x:c r="G145" s="24" t="str">
        <x:v>Nature</x:v>
      </x:c>
      <x:c r="H145" s="24" t="str">
        <x:v>Neutral</x:v>
      </x:c>
      <x:c r="I145" s="18" t="str">
        <x:v>Charge. Lu Bu can only attack the highest-ATK enemy if one exists</x:v>
      </x:c>
      <x:c r="J145" s="18" t="str">
        <x:v>Match any man, then pass him.</x:v>
      </x:c>
      <x:c r="K145" s="18" t="str">
        <x:v>Record of Ragnarok</x:v>
      </x:c>
      <x:c r="L145" s="17" t="str">
        <x:v>c149</x:v>
      </x:c>
    </x:row>
    <x:row r="146" ht="42" customHeight="1">
      <x:c r="A146" s="21" t="n">
        <x:v>3</x:v>
      </x:c>
      <x:c r="B146" s="14" t="str">
        <x:v>Modern Tank</x:v>
      </x:c>
      <x:c r="C146" s="23" t="str">
        <x:f>D146&amp;"/"&amp;E146</x:f>
        <x:v>2/2</x:v>
      </x:c>
      <x:c r="D146" s="21" t="n">
        <x:v>2</x:v>
      </x:c>
      <x:c r="E146" s="21" t="n">
        <x:v>2</x:v>
      </x:c>
      <x:c r="F146" s="23" t="str">
        <x:v>Rare</x:v>
      </x:c>
      <x:c r="G146" s="23" t="str">
        <x:v>Tech</x:v>
      </x:c>
      <x:c r="H146" s="23" t="str">
        <x:v>Neutral</x:v>
      </x:c>
      <x:c r="I146" s="13" t="str">
        <x:v>Battlecry: Deal 1 damage to an enemy minion</x:v>
      </x:c>
      <x:c r="J146" s="13" t="str">
        <x:v>-</x:v>
      </x:c>
      <x:c r="K146" s="13" t="str">
        <x:v>Basic</x:v>
      </x:c>
      <x:c r="L146" s="12" t="str">
        <x:v>c139</x:v>
      </x:c>
    </x:row>
    <x:row r="147" ht="42" customHeight="1">
      <x:c r="A147" s="22" t="n">
        <x:v>3</x:v>
      </x:c>
      <x:c r="B147" s="19" t="str">
        <x:v>Morgott, the Omen King</x:v>
      </x:c>
      <x:c r="C147" s="24" t="str">
        <x:f>D147&amp;"/"&amp;E147</x:f>
        <x:v>1/1</x:v>
      </x:c>
      <x:c r="D147" s="22" t="n">
        <x:v>1</x:v>
      </x:c>
      <x:c r="E147" s="22" t="n">
        <x:v>1</x:v>
      </x:c>
      <x:c r="F147" s="24" t="str">
        <x:v>Rare</x:v>
      </x:c>
      <x:c r="G147" s="24" t="str">
        <x:v>Magic</x:v>
      </x:c>
      <x:c r="H147" s="24" t="str">
        <x:v>Neutral</x:v>
      </x:c>
      <x:c r="I147" s="18" t="str">
        <x:v>Taunt. Battlecry: Summon Margit (1/1 with Taunt)</x:v>
      </x:c>
      <x:c r="J147" s="18" t="str">
        <x:v>The immovable</x:v>
      </x:c>
      <x:c r="K147" s="18" t="str">
        <x:v>Elden Ring</x:v>
      </x:c>
      <x:c r="L147" s="17" t="str">
        <x:v>c155</x:v>
      </x:c>
    </x:row>
    <x:row r="148" ht="42" customHeight="1">
      <x:c r="A148" s="21" t="n">
        <x:v>3</x:v>
      </x:c>
      <x:c r="B148" s="14" t="str">
        <x:v>RoboCop</x:v>
      </x:c>
      <x:c r="C148" s="23" t="str">
        <x:f>D148&amp;"/"&amp;E148</x:f>
        <x:v>2/4</x:v>
      </x:c>
      <x:c r="D148" s="21" t="n">
        <x:v>2</x:v>
      </x:c>
      <x:c r="E148" s="21" t="n">
        <x:v>4</x:v>
      </x:c>
      <x:c r="F148" s="23" t="str">
        <x:v>Rare</x:v>
      </x:c>
      <x:c r="G148" s="23" t="str">
        <x:v>Tech</x:v>
      </x:c>
      <x:c r="H148" s="23" t="str">
        <x:v>Good</x:v>
      </x:c>
      <x:c r="I148" s="13" t="str">
        <x:v>Passive: Deal double damage against Evil minions</x:v>
      </x:c>
      <x:c r="J148" s="13" t="str">
        <x:v>Uphold the law</x:v>
      </x:c>
      <x:c r="K148" s="13" t="str">
        <x:v>RoboCop</x:v>
      </x:c>
      <x:c r="L148" s="12" t="str">
        <x:v>c140</x:v>
      </x:c>
    </x:row>
    <x:row r="149" ht="44" customHeight="1">
      <x:c r="A149" s="22" t="n">
        <x:v>3</x:v>
      </x:c>
      <x:c r="B149" s="19" t="str">
        <x:v>Tai Lung</x:v>
      </x:c>
      <x:c r="C149" s="24" t="str">
        <x:f>D149&amp;"/"&amp;E149</x:f>
        <x:v>3/3</x:v>
      </x:c>
      <x:c r="D149" s="22" t="n">
        <x:v>3</x:v>
      </x:c>
      <x:c r="E149" s="22" t="n">
        <x:v>3</x:v>
      </x:c>
      <x:c r="F149" s="24" t="str">
        <x:v>Epic</x:v>
      </x:c>
      <x:c r="G149" s="24" t="str">
        <x:v>Nature</x:v>
      </x:c>
      <x:c r="H149" s="24" t="str">
        <x:v>Evil</x:v>
      </x:c>
      <x:c r="I149" s="18" t="str">
        <x:v>Chained. Passive: Whenever Tai Lung kills a minion, gain +1/+1 and its keywords</x:v>
      </x:c>
      <x:c r="J149" s="18" t="str">
        <x:v>Imprisoned for 20 years</x:v>
      </x:c>
      <x:c r="K149" s="18" t="str">
        <x:v>Kung-Fu Panda</x:v>
      </x:c>
      <x:c r="L149" s="17" t="str">
        <x:v>c134</x:v>
      </x:c>
    </x:row>
    <x:row r="150" ht="44" customHeight="1">
      <x:c r="A150" s="21" t="n">
        <x:v>3</x:v>
      </x:c>
      <x:c r="B150" s="14" t="str">
        <x:v>Tech Hub</x:v>
      </x:c>
      <x:c r="C150" s="23" t="str">
        <x:f>D150&amp;"/"&amp;E150</x:f>
        <x:v>1/1</x:v>
      </x:c>
      <x:c r="D150" s="21" t="n">
        <x:v>1</x:v>
      </x:c>
      <x:c r="E150" s="21" t="n">
        <x:v>1</x:v>
      </x:c>
      <x:c r="F150" s="23" t="str">
        <x:v>Rare</x:v>
      </x:c>
      <x:c r="G150" s="23" t="str">
        <x:v>Tech</x:v>
      </x:c>
      <x:c r="H150" s="23" t="str">
        <x:v>Neutral</x:v>
      </x:c>
      <x:c r="I150" s="13" t="str">
        <x:v>Divine Shield. Passive: Give all other friendly Tech minions +2/+1</x:v>
      </x:c>
      <x:c r="J150" s="13" t="str">
        <x:v>Every machine came from somewhere. This is that somewhere</x:v>
      </x:c>
      <x:c r="K150" s="13" t="str">
        <x:v>Core</x:v>
      </x:c>
      <x:c r="L150" s="12" t="str">
        <x:v>c141</x:v>
      </x:c>
    </x:row>
    <x:row r="151" ht="42" customHeight="1">
      <x:c r="A151" s="22" t="n">
        <x:v>3</x:v>
      </x:c>
      <x:c r="B151" s="19" t="str">
        <x:v>The Five Convicts</x:v>
      </x:c>
      <x:c r="C151" s="24" t="str">
        <x:f>D151&amp;"/"&amp;E151</x:f>
        <x:v>5/1</x:v>
      </x:c>
      <x:c r="D151" s="22" t="n">
        <x:v>5</x:v>
      </x:c>
      <x:c r="E151" s="22" t="n">
        <x:v>1</x:v>
      </x:c>
      <x:c r="F151" s="24" t="str">
        <x:v>Rare</x:v>
      </x:c>
      <x:c r="G151" s="24" t="str">
        <x:v>Nature</x:v>
      </x:c>
      <x:c r="H151" s="24" t="str">
        <x:v>Evil</x:v>
      </x:c>
      <x:c r="I151" s="18" t="str">
        <x:v>Taunt</x:v>
      </x:c>
      <x:c r="J151" s="18" t="str">
        <x:v>death sentence</x:v>
      </x:c>
      <x:c r="K151" s="18" t="str">
        <x:v>Baki</x:v>
      </x:c>
      <x:c r="L151" s="17" t="str">
        <x:v>c128</x:v>
      </x:c>
    </x:row>
    <x:row r="152" ht="44" customHeight="1">
      <x:c r="A152" s="21" t="n">
        <x:v>3</x:v>
      </x:c>
      <x:c r="B152" s="14" t="str">
        <x:v>Yoriichi Type Zero</x:v>
      </x:c>
      <x:c r="C152" s="23" t="str">
        <x:f>D152&amp;"/"&amp;E152</x:f>
        <x:v>2/2</x:v>
      </x:c>
      <x:c r="D152" s="21" t="n">
        <x:v>2</x:v>
      </x:c>
      <x:c r="E152" s="21" t="n">
        <x:v>2</x:v>
      </x:c>
      <x:c r="F152" s="23" t="str">
        <x:v>Rare</x:v>
      </x:c>
      <x:c r="G152" s="23" t="str">
        <x:v>Tech</x:v>
      </x:c>
      <x:c r="H152" s="23" t="str">
        <x:v>Neutral</x:v>
      </x:c>
      <x:c r="I152" s="13" t="str">
        <x:v>Passive: Whenever a friendly minion survives a combat, it gains +1/+1</x:v>
      </x:c>
      <x:c r="J152" s="13" t="str">
        <x:v>Strongest puppet</x:v>
      </x:c>
      <x:c r="K152" s="13" t="str">
        <x:v>Demon Slayer</x:v>
      </x:c>
      <x:c r="L152" s="12" t="str">
        <x:v>c093</x:v>
      </x:c>
    </x:row>
    <x:row r="153" ht="44" customHeight="1">
      <x:c r="A153" s="22" t="n">
        <x:v>2</x:v>
      </x:c>
      <x:c r="B153" s="19" t="str">
        <x:v>Batman</x:v>
      </x:c>
      <x:c r="C153" s="24" t="str">
        <x:f>D153&amp;"/"&amp;E153</x:f>
        <x:v>1/1</x:v>
      </x:c>
      <x:c r="D153" s="22" t="n">
        <x:v>1</x:v>
      </x:c>
      <x:c r="E153" s="22" t="n">
        <x:v>1</x:v>
      </x:c>
      <x:c r="F153" s="24" t="str">
        <x:v>Mythic</x:v>
      </x:c>
      <x:c r="G153" s="24" t="str">
        <x:v>Tech</x:v>
      </x:c>
      <x:c r="H153" s="24" t="str">
        <x:v>Good</x:v>
      </x:c>
      <x:c r="I153" s="18" t="str">
        <x:v>Battlecry: Choose an enemy minion. Choose one gadget: Freeze it; Silence it; or give it -2 ATK</x:v>
      </x:c>
      <x:c r="J153" s="18" t="str">
        <x:v>Preparation beats power.</x:v>
      </x:c>
      <x:c r="K153" s="18" t="str">
        <x:v>DCEU</x:v>
      </x:c>
      <x:c r="L153" s="17" t="str">
        <x:v>c005</x:v>
      </x:c>
    </x:row>
    <x:row r="154" ht="42" customHeight="1">
      <x:c r="A154" s="21" t="n">
        <x:v>2</x:v>
      </x:c>
      <x:c r="B154" s="14" t="str">
        <x:v>Bigfoot</x:v>
      </x:c>
      <x:c r="C154" s="23" t="str">
        <x:f>D154&amp;"/"&amp;E154</x:f>
        <x:v>2/2</x:v>
      </x:c>
      <x:c r="D154" s="21" t="n">
        <x:v>2</x:v>
      </x:c>
      <x:c r="E154" s="21" t="n">
        <x:v>2</x:v>
      </x:c>
      <x:c r="F154" s="23" t="str">
        <x:v>Rare</x:v>
      </x:c>
      <x:c r="G154" s="23" t="str">
        <x:v>Nature</x:v>
      </x:c>
      <x:c r="H154" s="23" t="str">
        <x:v>Neutral</x:v>
      </x:c>
      <x:c r="I154" s="13" t="str">
        <x:v>Passive: Evades 40% of incoming attacks</x:v>
      </x:c>
      <x:c r="J154" s="13" t="str">
        <x:v>The woods answer with silence.</x:v>
      </x:c>
      <x:c r="K154" s="13" t="str">
        <x:v>Myth</x:v>
      </x:c>
      <x:c r="L154" s="12" t="str">
        <x:v>c004</x:v>
      </x:c>
    </x:row>
    <x:row r="155" ht="42" customHeight="1">
      <x:c r="A155" s="22" t="n">
        <x:v>2</x:v>
      </x:c>
      <x:c r="B155" s="19" t="str">
        <x:v>Black Ops</x:v>
      </x:c>
      <x:c r="C155" s="24" t="str">
        <x:f>D155&amp;"/"&amp;E155</x:f>
        <x:v>2/2</x:v>
      </x:c>
      <x:c r="D155" s="22" t="n">
        <x:v>2</x:v>
      </x:c>
      <x:c r="E155" s="22" t="n">
        <x:v>2</x:v>
      </x:c>
      <x:c r="F155" s="24" t="str">
        <x:v>Rare</x:v>
      </x:c>
      <x:c r="G155" s="24" t="str">
        <x:v>Tech</x:v>
      </x:c>
      <x:c r="H155" s="24" t="str">
        <x:v>Neutral</x:v>
      </x:c>
      <x:c r="I155" s="18" t="str">
        <x:v>Passive: Ignore Taunt</x:v>
      </x:c>
      <x:c r="J155" s="18" t="str">
        <x:v>Classified</x:v>
      </x:c>
      <x:c r="K155" s="18" t="str">
        <x:v>Basic</x:v>
      </x:c>
      <x:c r="L155" s="17" t="str">
        <x:v>c153</x:v>
      </x:c>
    </x:row>
    <x:row r="156" ht="42" customHeight="1">
      <x:c r="A156" s="21" t="n">
        <x:v>2</x:v>
      </x:c>
      <x:c r="B156" s="14" t="str">
        <x:v>Cecil</x:v>
      </x:c>
      <x:c r="C156" s="23" t="str">
        <x:f>D156&amp;"/"&amp;E156</x:f>
        <x:v>1/1</x:v>
      </x:c>
      <x:c r="D156" s="21" t="n">
        <x:v>1</x:v>
      </x:c>
      <x:c r="E156" s="21" t="n">
        <x:v>1</x:v>
      </x:c>
      <x:c r="F156" s="23" t="str">
        <x:v>Rare</x:v>
      </x:c>
      <x:c r="G156" s="23" t="str">
        <x:v>Tech</x:v>
      </x:c>
      <x:c r="H156" s="23" t="str">
        <x:v>Neutral</x:v>
      </x:c>
      <x:c r="I156" s="13" t="str">
        <x:v>Battlecry: Return a friendly minion to your hand</x:v>
      </x:c>
      <x:c r="J156" s="13" t="str">
        <x:v>Nothing personal. Just cleanup.</x:v>
      </x:c>
      <x:c r="K156" s="13" t="str">
        <x:v>Invincible</x:v>
      </x:c>
      <x:c r="L156" s="12" t="str">
        <x:v>c144</x:v>
      </x:c>
    </x:row>
    <x:row r="157" ht="42" customHeight="1">
      <x:c r="A157" s="22" t="n">
        <x:v>2</x:v>
      </x:c>
      <x:c r="B157" s="19" t="str">
        <x:v>Dr. Heinz Doofenshmirtz</x:v>
      </x:c>
      <x:c r="C157" s="24" t="str">
        <x:f>D157&amp;"/"&amp;E157</x:f>
        <x:v>2/2</x:v>
      </x:c>
      <x:c r="D157" s="22" t="n">
        <x:v>2</x:v>
      </x:c>
      <x:c r="E157" s="22" t="n">
        <x:v>2</x:v>
      </x:c>
      <x:c r="F157" s="24" t="str">
        <x:v>Rare</x:v>
      </x:c>
      <x:c r="G157" s="24" t="str">
        <x:v>Tech</x:v>
      </x:c>
      <x:c r="H157" s="24" t="str">
        <x:v>Neutral</x:v>
      </x:c>
      <x:c r="I157" s="18" t="str">
        <x:v>Ongoing: 50% to die and 50% to double your stats</x:v>
      </x:c>
      <x:c r="J157" s="18" t="str">
        <x:v>Your doom will be unnecessarily complicated</x:v>
      </x:c>
      <x:c r="K157" s="18" t="str">
        <x:v>Phineas and Ferb universe</x:v>
      </x:c>
      <x:c r="L157" s="17" t="str">
        <x:v>c164</x:v>
      </x:c>
    </x:row>
    <x:row r="158" ht="44" customHeight="1">
      <x:c r="A158" s="21" t="n">
        <x:v>2</x:v>
      </x:c>
      <x:c r="B158" s="14" t="str">
        <x:v>Kaku Kaioh</x:v>
      </x:c>
      <x:c r="C158" s="23" t="str">
        <x:f>D158&amp;"/"&amp;E158</x:f>
        <x:v>1/2</x:v>
      </x:c>
      <x:c r="D158" s="21" t="n">
        <x:v>1</x:v>
      </x:c>
      <x:c r="E158" s="21" t="n">
        <x:v>2</x:v>
      </x:c>
      <x:c r="F158" s="23" t="str">
        <x:v>Rare</x:v>
      </x:c>
      <x:c r="G158" s="23" t="str">
        <x:v>Nature</x:v>
      </x:c>
      <x:c r="H158" s="23" t="str">
        <x:v>Good</x:v>
      </x:c>
      <x:c r="I158" s="13" t="str">
        <x:v>Passive: Evades 50% of attacks. Whenever he evades, the attacker takes damage equal to its own ATK</x:v>
      </x:c>
      <x:c r="J158" s="13" t="str">
        <x:v>162 years old</x:v>
      </x:c>
      <x:c r="K158" s="13" t="str">
        <x:v>Baki</x:v>
      </x:c>
      <x:c r="L158" s="12" t="str">
        <x:v>c145</x:v>
      </x:c>
    </x:row>
    <x:row r="159" ht="42" customHeight="1">
      <x:c r="A159" s="22" t="n">
        <x:v>2</x:v>
      </x:c>
      <x:c r="B159" s="19" t="str">
        <x:v>Kiritsugu Emiya</x:v>
      </x:c>
      <x:c r="C159" s="24" t="str">
        <x:f>D159&amp;"/"&amp;E159</x:f>
        <x:v>1/1</x:v>
      </x:c>
      <x:c r="D159" s="22" t="n">
        <x:v>1</x:v>
      </x:c>
      <x:c r="E159" s="22" t="n">
        <x:v>1</x:v>
      </x:c>
      <x:c r="F159" s="24" t="str">
        <x:v>Rare</x:v>
      </x:c>
      <x:c r="G159" s="24" t="str">
        <x:v>Tech</x:v>
      </x:c>
      <x:c r="H159" s="24" t="str">
        <x:v>Neutral</x:v>
      </x:c>
      <x:c r="I159" s="18" t="str">
        <x:v>Battlecry: Freeze and silence an enemy minion</x:v>
      </x:c>
      <x:c r="J159" s="18" t="str">
        <x:v>He walks alone</x:v>
      </x:c>
      <x:c r="K159" s="18" t="str">
        <x:v>Fate</x:v>
      </x:c>
      <x:c r="L159" s="17" t="str">
        <x:v>c146</x:v>
      </x:c>
    </x:row>
    <x:row r="160" ht="42" customHeight="1">
      <x:c r="A160" s="21" t="n">
        <x:v>2</x:v>
      </x:c>
      <x:c r="B160" s="14" t="str">
        <x:v>Kureo Mado</x:v>
      </x:c>
      <x:c r="C160" s="23" t="str">
        <x:f>D160&amp;"/"&amp;E160</x:f>
        <x:v>2/2</x:v>
      </x:c>
      <x:c r="D160" s="21" t="n">
        <x:v>2</x:v>
      </x:c>
      <x:c r="E160" s="21" t="n">
        <x:v>2</x:v>
      </x:c>
      <x:c r="F160" s="23" t="str">
        <x:v>Epic</x:v>
      </x:c>
      <x:c r="G160" s="23" t="str">
        <x:v>Tech</x:v>
      </x:c>
      <x:c r="H160" s="23" t="str">
        <x:v>Neutral</x:v>
      </x:c>
      <x:c r="I160" s="13" t="str">
        <x:v>Battlecry: Take an enemy minion's Relic and equip it to Kureo</x:v>
      </x:c>
      <x:c r="J160" s="13" t="str">
        <x:v>Mad hunter</x:v>
      </x:c>
      <x:c r="K160" s="13" t="str">
        <x:v>Tokyo Ghoul</x:v>
      </x:c>
      <x:c r="L160" s="12" t="str">
        <x:v>c147</x:v>
      </x:c>
    </x:row>
    <x:row r="161" ht="42" customHeight="1">
      <x:c r="A161" s="22" t="n">
        <x:v>2</x:v>
      </x:c>
      <x:c r="B161" s="19" t="str">
        <x:v>Kurogiri</x:v>
      </x:c>
      <x:c r="C161" s="24" t="str">
        <x:f>D161&amp;"/"&amp;E161</x:f>
        <x:v>1/1</x:v>
      </x:c>
      <x:c r="D161" s="22" t="n">
        <x:v>1</x:v>
      </x:c>
      <x:c r="E161" s="22" t="n">
        <x:v>1</x:v>
      </x:c>
      <x:c r="F161" s="24" t="str">
        <x:v>Rare</x:v>
      </x:c>
      <x:c r="G161" s="24" t="str">
        <x:v>Magic</x:v>
      </x:c>
      <x:c r="H161" s="24" t="str">
        <x:v>Evil</x:v>
      </x:c>
      <x:c r="I161" s="18" t="str">
        <x:v>Battlecry: All minions attack randomly next turn</x:v>
      </x:c>
      <x:c r="J161" s="18" t="str">
        <x:v>Every exit leads somewhere else.</x:v>
      </x:c>
      <x:c r="K161" s="18" t="str">
        <x:v>MHA</x:v>
      </x:c>
      <x:c r="L161" s="17" t="str">
        <x:v>c148</x:v>
      </x:c>
    </x:row>
    <x:row r="162" ht="44" customHeight="1">
      <x:c r="A162" s="21" t="n">
        <x:v>2</x:v>
      </x:c>
      <x:c r="B162" s="14" t="str">
        <x:v>Meleoron</x:v>
      </x:c>
      <x:c r="C162" s="23" t="str">
        <x:f>D162&amp;"/"&amp;E162</x:f>
        <x:v>0/1</x:v>
      </x:c>
      <x:c r="D162" s="21" t="n">
        <x:v>0</x:v>
      </x:c>
      <x:c r="E162" s="21" t="n">
        <x:v>1</x:v>
      </x:c>
      <x:c r="F162" s="23" t="str">
        <x:v>Rare</x:v>
      </x:c>
      <x:c r="G162" s="23" t="str">
        <x:v>Magic</x:v>
      </x:c>
      <x:c r="H162" s="23" t="str">
        <x:v>Good</x:v>
      </x:c>
      <x:c r="I162" s="13" t="str">
        <x:v>Passive: Choose a friendly minion. It ignores Taunt and cannot be targeted as long as Meleoron is alive</x:v>
      </x:c>
      <x:c r="J162" s="13" t="str">
        <x:v>True invisibility</x:v>
      </x:c>
      <x:c r="K162" s="13" t="str">
        <x:v>HxH</x:v>
      </x:c>
      <x:c r="L162" s="12" t="str">
        <x:v>c150</x:v>
      </x:c>
    </x:row>
    <x:row r="163" ht="42" customHeight="1">
      <x:c r="A163" s="22" t="n">
        <x:v>2</x:v>
      </x:c>
      <x:c r="B163" s="19" t="str">
        <x:v>Mr. Oliva</x:v>
      </x:c>
      <x:c r="C163" s="24" t="str">
        <x:f>D163&amp;"/"&amp;E163</x:f>
        <x:v>3/2</x:v>
      </x:c>
      <x:c r="D163" s="22" t="n">
        <x:v>3</x:v>
      </x:c>
      <x:c r="E163" s="22" t="n">
        <x:v>2</x:v>
      </x:c>
      <x:c r="F163" s="24" t="str">
        <x:v>Rare</x:v>
      </x:c>
      <x:c r="G163" s="24" t="str">
        <x:v>Nature</x:v>
      </x:c>
      <x:c r="H163" s="24" t="str">
        <x:v>Neutral</x:v>
      </x:c>
      <x:c r="I163" s="18" t="str">
        <x:v>Passive: Can only be damaged by ATK of 2 and higher</x:v>
      </x:c>
      <x:c r="J163" s="18" t="str">
        <x:v>Unchained</x:v>
      </x:c>
      <x:c r="K163" s="18" t="str">
        <x:v>Baki</x:v>
      </x:c>
      <x:c r="L163" s="17" t="str">
        <x:v>c151</x:v>
      </x:c>
    </x:row>
    <x:row r="164" ht="42" customHeight="1">
      <x:c r="A164" s="21" t="n">
        <x:v>2</x:v>
      </x:c>
      <x:c r="B164" s="14" t="str">
        <x:v>Ouken</x:v>
      </x:c>
      <x:c r="C164" s="23" t="str">
        <x:f>D164&amp;"/"&amp;E164</x:f>
        <x:v>2/1</x:v>
      </x:c>
      <x:c r="D164" s="21" t="n">
        <x:v>2</x:v>
      </x:c>
      <x:c r="E164" s="21" t="n">
        <x:v>1</x:v>
      </x:c>
      <x:c r="F164" s="23" t="str">
        <x:v>Epic</x:v>
      </x:c>
      <x:c r="G164" s="23" t="str">
        <x:v>Magic</x:v>
      </x:c>
      <x:c r="H164" s="23" t="str">
        <x:v>Evil</x:v>
      </x:c>
      <x:c r="I164" s="13" t="str">
        <x:v>Reborn infinitely. Become Chained after each Reborn</x:v>
      </x:c>
      <x:c r="J164" s="13" t="str">
        <x:v>Immortality cost him everything</x:v>
      </x:c>
      <x:c r="K164" s="13" t="str">
        <x:v>Ranking of Kings</x:v>
      </x:c>
      <x:c r="L164" s="12" t="str">
        <x:v>c156</x:v>
      </x:c>
    </x:row>
    <x:row r="165" ht="42" customHeight="1">
      <x:c r="A165" s="22" t="n">
        <x:v>2</x:v>
      </x:c>
      <x:c r="B165" s="19" t="str">
        <x:v>Stain</x:v>
      </x:c>
      <x:c r="C165" s="24" t="str">
        <x:f>D165&amp;"/"&amp;E165</x:f>
        <x:v>1/1</x:v>
      </x:c>
      <x:c r="D165" s="22" t="n">
        <x:v>1</x:v>
      </x:c>
      <x:c r="E165" s="22" t="n">
        <x:v>1</x:v>
      </x:c>
      <x:c r="F165" s="24" t="str">
        <x:v>Epic</x:v>
      </x:c>
      <x:c r="G165" s="24" t="str">
        <x:v>Magic</x:v>
      </x:c>
      <x:c r="H165" s="24" t="str">
        <x:v>Evil</x:v>
      </x:c>
      <x:c r="I165" s="18" t="str">
        <x:v>Battlecry: Destroy a damaged minion</x:v>
      </x:c>
      <x:c r="J165" s="18" t="str">
        <x:v>No heroes</x:v>
      </x:c>
      <x:c r="K165" s="18" t="str">
        <x:v>MHA</x:v>
      </x:c>
      <x:c r="L165" s="17" t="str">
        <x:v>c152</x:v>
      </x:c>
    </x:row>
    <x:row r="166" ht="44" customHeight="1">
      <x:c r="A166" s="21" t="n">
        <x:v>2</x:v>
      </x:c>
      <x:c r="B166" s="14" t="str">
        <x:v>Survivors</x:v>
      </x:c>
      <x:c r="C166" s="23" t="str">
        <x:f>D166&amp;"/"&amp;E166</x:f>
        <x:v>2/2</x:v>
      </x:c>
      <x:c r="D166" s="21" t="n">
        <x:v>2</x:v>
      </x:c>
      <x:c r="E166" s="21" t="n">
        <x:v>2</x:v>
      </x:c>
      <x:c r="F166" s="23" t="str">
        <x:v>Legendary</x:v>
      </x:c>
      <x:c r="G166" s="23" t="str">
        <x:v>Nature</x:v>
      </x:c>
      <x:c r="H166" s="23" t="str">
        <x:v>Good</x:v>
      </x:c>
      <x:c r="I166" s="13" t="str">
        <x:v>Divine Shield</x:v>
      </x:c>
      <x:c r="J166" s="13" t="str">
        <x:v>They weren't the strongest or the fastest. They were the ones who didn't stop</x:v>
      </x:c>
      <x:c r="K166" s="13" t="str">
        <x:v>L4d2</x:v>
      </x:c>
      <x:c r="L166" s="12" t="str">
        <x:v>c143</x:v>
      </x:c>
    </x:row>
    <x:row r="167" ht="44" customHeight="1">
      <x:c r="A167" s="22" t="n">
        <x:v>1</x:v>
      </x:c>
      <x:c r="B167" s="19" t="str">
        <x:v>An Order of Heavy Knights</x:v>
      </x:c>
      <x:c r="C167" s="24" t="str">
        <x:f>D167&amp;"/"&amp;E167</x:f>
        <x:v>1/1</x:v>
      </x:c>
      <x:c r="D167" s="22" t="n">
        <x:v>1</x:v>
      </x:c>
      <x:c r="E167" s="22" t="n">
        <x:v>1</x:v>
      </x:c>
      <x:c r="F167" s="24" t="str">
        <x:v>Rare</x:v>
      </x:c>
      <x:c r="G167" s="24" t="str">
        <x:v>Nature</x:v>
      </x:c>
      <x:c r="H167" s="24" t="str">
        <x:v>Neutral</x:v>
      </x:c>
      <x:c r="I167" s="18" t="str">
        <x:v>Passive: Gain +1/+1 for every friendly Taunt or Divine Shield minion</x:v>
      </x:c>
      <x:c r="J167" s="18" t="str">
        <x:v>Honor. Duty</x:v>
      </x:c>
      <x:c r="K167" s="18" t="str">
        <x:v>Basic</x:v>
      </x:c>
      <x:c r="L167" s="17" t="str">
        <x:v>c169</x:v>
      </x:c>
    </x:row>
    <x:row r="168" ht="42" customHeight="1">
      <x:c r="A168" s="21" t="n">
        <x:v>1</x:v>
      </x:c>
      <x:c r="B168" s="14" t="str">
        <x:v>Davy Jones</x:v>
      </x:c>
      <x:c r="C168" s="23" t="str">
        <x:f>D168&amp;"/"&amp;E168</x:f>
        <x:v>1/1</x:v>
      </x:c>
      <x:c r="D168" s="21" t="n">
        <x:v>1</x:v>
      </x:c>
      <x:c r="E168" s="21" t="n">
        <x:v>1</x:v>
      </x:c>
      <x:c r="F168" s="23" t="str">
        <x:v>Rare</x:v>
      </x:c>
      <x:c r="G168" s="23" t="str">
        <x:v>Magic</x:v>
      </x:c>
      <x:c r="H168" s="23" t="str">
        <x:v>Evil</x:v>
      </x:c>
      <x:c r="I168" s="13" t="str">
        <x:v>Battlecry: Steal an Relic in your opponent's hand</x:v>
      </x:c>
      <x:c r="J168" s="13" t="str">
        <x:v>Captain of the drowned</x:v>
      </x:c>
      <x:c r="K168" s="13" t="str">
        <x:v>Pirates of the Caribbean</x:v>
      </x:c>
      <x:c r="L168" s="12" t="str">
        <x:v>c170</x:v>
      </x:c>
    </x:row>
    <x:row r="169" ht="42" customHeight="1">
      <x:c r="A169" s="22" t="n">
        <x:v>1</x:v>
      </x:c>
      <x:c r="B169" s="19" t="str">
        <x:v>Detective L</x:v>
      </x:c>
      <x:c r="C169" s="24" t="str">
        <x:f>D169&amp;"/"&amp;E169</x:f>
        <x:v>1/4</x:v>
      </x:c>
      <x:c r="D169" s="22" t="n">
        <x:v>1</x:v>
      </x:c>
      <x:c r="E169" s="22" t="n">
        <x:v>4</x:v>
      </x:c>
      <x:c r="F169" s="24" t="str">
        <x:v>Legendary</x:v>
      </x:c>
      <x:c r="G169" s="24" t="str">
        <x:v>Nature</x:v>
      </x:c>
      <x:c r="H169" s="24" t="str">
        <x:v>Good</x:v>
      </x:c>
      <x:c r="I169" s="18" t="str">
        <x:v>Passive: Your draw now shows 2 cards, pick one</x:v>
      </x:c>
      <x:c r="J169" s="18" t="str">
        <x:v>Justice works in probabilities.</x:v>
      </x:c>
      <x:c r="K169" s="18" t="str">
        <x:v>Death Note</x:v>
      </x:c>
      <x:c r="L169" s="17" t="str">
        <x:v>c003</x:v>
      </x:c>
    </x:row>
    <x:row r="170" ht="42" customHeight="1">
      <x:c r="A170" s="21" t="n">
        <x:v>1</x:v>
      </x:c>
      <x:c r="B170" s="14" t="str">
        <x:v>Domovoy</x:v>
      </x:c>
      <x:c r="C170" s="23" t="str">
        <x:f>D170&amp;"/"&amp;E170</x:f>
        <x:v>1/1</x:v>
      </x:c>
      <x:c r="D170" s="21" t="n">
        <x:v>1</x:v>
      </x:c>
      <x:c r="E170" s="21" t="n">
        <x:v>1</x:v>
      </x:c>
      <x:c r="F170" s="23" t="str">
        <x:v>Epic</x:v>
      </x:c>
      <x:c r="G170" s="23" t="str">
        <x:v>Magic</x:v>
      </x:c>
      <x:c r="H170" s="23" t="str">
        <x:v>Good</x:v>
      </x:c>
      <x:c r="I170" s="13" t="str">
        <x:v>Battlecry: Draw an Relic</x:v>
      </x:c>
      <x:c r="J170" s="13" t="str">
        <x:v>The house spirit</x:v>
      </x:c>
      <x:c r="K170" s="13" t="str">
        <x:v>Myth</x:v>
      </x:c>
      <x:c r="L170" s="12" t="str">
        <x:v>c160</x:v>
      </x:c>
    </x:row>
    <x:row r="171" ht="42" customHeight="1">
      <x:c r="A171" s="22" t="n">
        <x:v>1</x:v>
      </x:c>
      <x:c r="B171" s="19" t="str">
        <x:v>Goblins</x:v>
      </x:c>
      <x:c r="C171" s="24" t="str">
        <x:f>D171&amp;"/"&amp;E171</x:f>
        <x:v>2/1</x:v>
      </x:c>
      <x:c r="D171" s="22" t="n">
        <x:v>2</x:v>
      </x:c>
      <x:c r="E171" s="22" t="n">
        <x:v>1</x:v>
      </x:c>
      <x:c r="F171" s="24" t="str">
        <x:v>Rare</x:v>
      </x:c>
      <x:c r="G171" s="24" t="str">
        <x:v>Nature</x:v>
      </x:c>
      <x:c r="H171" s="24" t="str">
        <x:v>Evil</x:v>
      </x:c>
      <x:c r="I171" s="18" t="str">
        <x:v>Deathrattle: Deal 1 damage to a random enemy minion</x:v>
      </x:c>
      <x:c r="J171" s="18" t="str">
        <x:v>Many, loud, briefly in the way.</x:v>
      </x:c>
      <x:c r="K171" s="18" t="str">
        <x:v>Myth</x:v>
      </x:c>
      <x:c r="L171" s="17" t="str">
        <x:v>c171</x:v>
      </x:c>
    </x:row>
    <x:row r="172" ht="42" customHeight="1">
      <x:c r="A172" s="21" t="n">
        <x:v>1</x:v>
      </x:c>
      <x:c r="B172" s="14" t="str">
        <x:v>Indiana Jones</x:v>
      </x:c>
      <x:c r="C172" s="23" t="str">
        <x:f>D172&amp;"/"&amp;E172</x:f>
        <x:v>1/1</x:v>
      </x:c>
      <x:c r="D172" s="21" t="n">
        <x:v>1</x:v>
      </x:c>
      <x:c r="E172" s="21" t="n">
        <x:v>1</x:v>
      </x:c>
      <x:c r="F172" s="23" t="str">
        <x:v>Legendary</x:v>
      </x:c>
      <x:c r="G172" s="23" t="str">
        <x:v>Nature</x:v>
      </x:c>
      <x:c r="H172" s="23" t="str">
        <x:v>Good</x:v>
      </x:c>
      <x:c r="I172" s="13" t="str">
        <x:v>Battlecry: Discover 1 of 3 Relics. Add it to your hand</x:v>
      </x:c>
      <x:c r="J172" s="13" t="str">
        <x:v>Mine</x:v>
      </x:c>
      <x:c r="K172" s="13" t="str">
        <x:v>Indiana Jones</x:v>
      </x:c>
      <x:c r="L172" s="12" t="str">
        <x:v>c159</x:v>
      </x:c>
    </x:row>
    <x:row r="173" ht="42" customHeight="1">
      <x:c r="A173" s="22" t="n">
        <x:v>1</x:v>
      </x:c>
      <x:c r="B173" s="19" t="str">
        <x:v>John Wick</x:v>
      </x:c>
      <x:c r="C173" s="24" t="str">
        <x:f>D173&amp;"/"&amp;E173</x:f>
        <x:v>1/1</x:v>
      </x:c>
      <x:c r="D173" s="22" t="n">
        <x:v>1</x:v>
      </x:c>
      <x:c r="E173" s="22" t="n">
        <x:v>1</x:v>
      </x:c>
      <x:c r="F173" s="24" t="str">
        <x:v>Rare</x:v>
      </x:c>
      <x:c r="G173" s="24" t="str">
        <x:v>Nature</x:v>
      </x:c>
      <x:c r="H173" s="24" t="str">
        <x:v>Neutral</x:v>
      </x:c>
      <x:c r="I173" s="18" t="str">
        <x:v>Passive: Whenever a friendly minion dies, gain +1/+1</x:v>
      </x:c>
      <x:c r="J173" s="18" t="str">
        <x:v>A dog was all he had left.</x:v>
      </x:c>
      <x:c r="K173" s="18" t="str">
        <x:v>John Wick</x:v>
      </x:c>
      <x:c r="L173" s="17" t="str">
        <x:v>c001</x:v>
      </x:c>
    </x:row>
    <x:row r="174" ht="42" customHeight="1">
      <x:c r="A174" s="21" t="n">
        <x:v>1</x:v>
      </x:c>
      <x:c r="B174" s="14" t="str">
        <x:v>Joker</x:v>
      </x:c>
      <x:c r="C174" s="23" t="str">
        <x:f>D174&amp;"/"&amp;E174</x:f>
        <x:v>1/1</x:v>
      </x:c>
      <x:c r="D174" s="21" t="n">
        <x:v>1</x:v>
      </x:c>
      <x:c r="E174" s="21" t="n">
        <x:v>1</x:v>
      </x:c>
      <x:c r="F174" s="23" t="str">
        <x:v>Rare</x:v>
      </x:c>
      <x:c r="G174" s="23" t="str">
        <x:v>Nature</x:v>
      </x:c>
      <x:c r="H174" s="23" t="str">
        <x:v>Evil</x:v>
      </x:c>
      <x:c r="I174" s="13" t="str">
        <x:v>Battlecry: Put a copy of a minion in your hand</x:v>
      </x:c>
      <x:c r="J174" s="13" t="str">
        <x:v>The punchline was already loaded.</x:v>
      </x:c>
      <x:c r="K174" s="13" t="str">
        <x:v>DCEU</x:v>
      </x:c>
      <x:c r="L174" s="12" t="str">
        <x:v>c002</x:v>
      </x:c>
    </x:row>
    <x:row r="175" ht="44" customHeight="1">
      <x:c r="A175" s="22" t="n">
        <x:v>1</x:v>
      </x:c>
      <x:c r="B175" s="19" t="str">
        <x:v>Kagaya Ubuyashiki</x:v>
      </x:c>
      <x:c r="C175" s="24" t="str">
        <x:f>D175&amp;"/"&amp;E175</x:f>
        <x:v>1/1</x:v>
      </x:c>
      <x:c r="D175" s="22" t="n">
        <x:v>1</x:v>
      </x:c>
      <x:c r="E175" s="22" t="n">
        <x:v>1</x:v>
      </x:c>
      <x:c r="F175" s="24" t="str">
        <x:v>Epic</x:v>
      </x:c>
      <x:c r="G175" s="24" t="str">
        <x:v>Nature</x:v>
      </x:c>
      <x:c r="H175" s="24" t="str">
        <x:v>Good</x:v>
      </x:c>
      <x:c r="I175" s="18" t="str">
        <x:v>Deathrattle: Bind two empty slots on the board, one for each side. These slots cannot hold minions for the rest of the game</x:v>
      </x:c>
      <x:c r="J175" s="18" t="str">
        <x:v>Leadership</x:v>
      </x:c>
      <x:c r="K175" s="18" t="str">
        <x:v>Demon Slayer</x:v>
      </x:c>
      <x:c r="L175" s="17" t="str">
        <x:v>c162</x:v>
      </x:c>
    </x:row>
    <x:row r="176" ht="42" customHeight="1">
      <x:c r="A176" s="21" t="n">
        <x:v>1</x:v>
      </x:c>
      <x:c r="B176" s="14" t="str">
        <x:v>King</x:v>
      </x:c>
      <x:c r="C176" s="23" t="str">
        <x:f>D176&amp;"/"&amp;E176</x:f>
        <x:v>0/3</x:v>
      </x:c>
      <x:c r="D176" s="21" t="n">
        <x:v>0</x:v>
      </x:c>
      <x:c r="E176" s="21" t="n">
        <x:v>3</x:v>
      </x:c>
      <x:c r="F176" s="23" t="str">
        <x:v>Rare</x:v>
      </x:c>
      <x:c r="G176" s="23" t="str">
        <x:v>Nature</x:v>
      </x:c>
      <x:c r="H176" s="23" t="str">
        <x:v>Neutral</x:v>
      </x:c>
      <x:c r="I176" s="13" t="str">
        <x:v>Taunt. Passive: Evade 60% of attacks</x:v>
      </x:c>
      <x:c r="J176" s="13" t="str">
        <x:v>Luckiest man alive</x:v>
      </x:c>
      <x:c r="K176" s="13" t="str">
        <x:v>OPM</x:v>
      </x:c>
      <x:c r="L176" s="12" t="str">
        <x:v>c077</x:v>
      </x:c>
    </x:row>
    <x:row r="177" ht="42" customHeight="1">
      <x:c r="A177" s="22" t="n">
        <x:v>1</x:v>
      </x:c>
      <x:c r="B177" s="19" t="str">
        <x:v>Mr. Poopybutthole</x:v>
      </x:c>
      <x:c r="C177" s="24" t="str">
        <x:f>D177&amp;"/"&amp;E177</x:f>
        <x:v>1/1</x:v>
      </x:c>
      <x:c r="D177" s="22" t="n">
        <x:v>1</x:v>
      </x:c>
      <x:c r="E177" s="22" t="n">
        <x:v>1</x:v>
      </x:c>
      <x:c r="F177" s="24" t="str">
        <x:v>Rare</x:v>
      </x:c>
      <x:c r="G177" s="24" t="str">
        <x:v>Nature</x:v>
      </x:c>
      <x:c r="H177" s="24" t="str">
        <x:v>Neutral</x:v>
      </x:c>
      <x:c r="I177" s="18" t="str">
        <x:v>Reborn</x:v>
      </x:c>
      <x:c r="J177" s="18" t="str">
        <x:v>He was there the whole time</x:v>
      </x:c>
      <x:c r="K177" s="18" t="str">
        <x:v>Rick and Morty</x:v>
      </x:c>
      <x:c r="L177" s="17" t="str">
        <x:v>c172</x:v>
      </x:c>
    </x:row>
    <x:row r="178" ht="44" customHeight="1">
      <x:c r="A178" s="21" t="n">
        <x:v>1</x:v>
      </x:c>
      <x:c r="B178" s="14" t="str">
        <x:v>Mugen &amp; Jin</x:v>
      </x:c>
      <x:c r="C178" s="23" t="str">
        <x:f>D178&amp;"/"&amp;E178</x:f>
        <x:v>1/2</x:v>
      </x:c>
      <x:c r="D178" s="21" t="n">
        <x:v>1</x:v>
      </x:c>
      <x:c r="E178" s="21" t="n">
        <x:v>2</x:v>
      </x:c>
      <x:c r="F178" s="23" t="str">
        <x:v>Rare</x:v>
      </x:c>
      <x:c r="G178" s="23" t="str">
        <x:v>Nature</x:v>
      </x:c>
      <x:c r="H178" s="23" t="str">
        <x:v>Neutral</x:v>
      </x:c>
      <x:c r="I178" s="13" t="str">
        <x:v>Battlecry: Gain +1 ATK if you have another friendly minion on the board</x:v>
      </x:c>
      <x:c r="J178" s="13" t="str">
        <x:v>Two blades, one road, no agreement.</x:v>
      </x:c>
      <x:c r="K178" s="13" t="str">
        <x:v>Samurai Champloo</x:v>
      </x:c>
      <x:c r="L178" s="12" t="str">
        <x:v>c165</x:v>
      </x:c>
    </x:row>
    <x:row r="179" ht="42" customHeight="1">
      <x:c r="A179" s="22" t="n">
        <x:v>1</x:v>
      </x:c>
      <x:c r="B179" s="19" t="str">
        <x:v>Nezu</x:v>
      </x:c>
      <x:c r="C179" s="24" t="str">
        <x:f>D179&amp;"/"&amp;E179</x:f>
        <x:v>1/1</x:v>
      </x:c>
      <x:c r="D179" s="22" t="n">
        <x:v>1</x:v>
      </x:c>
      <x:c r="E179" s="22" t="n">
        <x:v>1</x:v>
      </x:c>
      <x:c r="F179" s="24" t="str">
        <x:v>Rare</x:v>
      </x:c>
      <x:c r="G179" s="24" t="str">
        <x:v>Nature</x:v>
      </x:c>
      <x:c r="H179" s="24" t="str">
        <x:v>Good</x:v>
      </x:c>
      <x:c r="I179" s="18" t="str">
        <x:v>Battlecry: Draw 1 card</x:v>
      </x:c>
      <x:c r="J179" s="18" t="str">
        <x:v>The smartest thing here is a mouse.</x:v>
      </x:c>
      <x:c r="K179" s="18" t="str">
        <x:v>MHA</x:v>
      </x:c>
      <x:c r="L179" s="17" t="str">
        <x:v>c173</x:v>
      </x:c>
    </x:row>
    <x:row r="180" ht="44" customHeight="1">
      <x:c r="A180" s="21" t="n">
        <x:v>1</x:v>
      </x:c>
      <x:c r="B180" s="14" t="str">
        <x:v>Shibukawa</x:v>
      </x:c>
      <x:c r="C180" s="23" t="str">
        <x:f>D180&amp;"/"&amp;E180</x:f>
        <x:v>1/1</x:v>
      </x:c>
      <x:c r="D180" s="21" t="n">
        <x:v>1</x:v>
      </x:c>
      <x:c r="E180" s="21" t="n">
        <x:v>1</x:v>
      </x:c>
      <x:c r="F180" s="23" t="str">
        <x:v>Rare</x:v>
      </x:c>
      <x:c r="G180" s="23" t="str">
        <x:v>Nature</x:v>
      </x:c>
      <x:c r="H180" s="23" t="str">
        <x:v>Neutral</x:v>
      </x:c>
      <x:c r="I180" s="13" t="str">
        <x:v>Divine Shield. Passive: Do 2x damage when defending against an attack</x:v>
      </x:c>
      <x:c r="J180" s="13" t="str">
        <x:v>Strength is the easiest thing to redirect.</x:v>
      </x:c>
      <x:c r="K180" s="13" t="str">
        <x:v>Baki</x:v>
      </x:c>
      <x:c r="L180" s="12" t="str">
        <x:v>c174</x:v>
      </x:c>
    </x:row>
    <x:row r="181" ht="42" customHeight="1">
      <x:c r="A181" s="22" t="n">
        <x:v>1</x:v>
      </x:c>
      <x:c r="B181" s="19" t="str">
        <x:v>Sir Nighteye</x:v>
      </x:c>
      <x:c r="C181" s="24" t="str">
        <x:f>D181&amp;"/"&amp;E181</x:f>
        <x:v>1/1</x:v>
      </x:c>
      <x:c r="D181" s="22" t="n">
        <x:v>1</x:v>
      </x:c>
      <x:c r="E181" s="22" t="n">
        <x:v>1</x:v>
      </x:c>
      <x:c r="F181" s="24" t="str">
        <x:v>Rare</x:v>
      </x:c>
      <x:c r="G181" s="24" t="str">
        <x:v>Magic</x:v>
      </x:c>
      <x:c r="H181" s="24" t="str">
        <x:v>Good</x:v>
      </x:c>
      <x:c r="I181" s="18" t="str">
        <x:v>Passive: See the card on top of the deck</x:v>
      </x:c>
      <x:c r="J181" s="18" t="str">
        <x:v>He has already watched this end.</x:v>
      </x:c>
      <x:c r="K181" s="18" t="str">
        <x:v>MHA</x:v>
      </x:c>
      <x:c r="L181" s="17" t="str">
        <x:v>c166</x:v>
      </x:c>
    </x:row>
    <x:row r="182" ht="44" customHeight="1">
      <x:c r="A182" s="21" t="n">
        <x:v>1</x:v>
      </x:c>
      <x:c r="B182" s="14" t="str">
        <x:v>V</x:v>
      </x:c>
      <x:c r="C182" s="23" t="str">
        <x:f>D182&amp;"/"&amp;E182</x:f>
        <x:v>1/1</x:v>
      </x:c>
      <x:c r="D182" s="21" t="n">
        <x:v>1</x:v>
      </x:c>
      <x:c r="E182" s="21" t="n">
        <x:v>1</x:v>
      </x:c>
      <x:c r="F182" s="23" t="str">
        <x:v>Rare</x:v>
      </x:c>
      <x:c r="G182" s="23" t="str">
        <x:v>Nature</x:v>
      </x:c>
      <x:c r="H182" s="23" t="str">
        <x:v>Neutral</x:v>
      </x:c>
      <x:c r="I182" s="13" t="str">
        <x:v>Deathrattle: Destroy a random Evil minion, no matter friendly or not, and deal 4 damage to your own Core</x:v>
      </x:c>
      <x:c r="J182" s="13" t="str">
        <x:v>V for Vendetta</x:v>
      </x:c>
      <x:c r="K182" s="13" t="str">
        <x:v>V for Vendetta</x:v>
      </x:c>
      <x:c r="L182" s="12" t="str">
        <x:v>c175</x:v>
      </x:c>
    </x:row>
    <x:row r="183" ht="42" customHeight="1">
      <x:c r="A183" s="22" t="n">
        <x:v>1</x:v>
      </x:c>
      <x:c r="B183" s="19" t="str">
        <x:v>Vegapunk</x:v>
      </x:c>
      <x:c r="C183" s="24" t="str">
        <x:f>D183&amp;"/"&amp;E183</x:f>
        <x:v>1/1</x:v>
      </x:c>
      <x:c r="D183" s="22" t="n">
        <x:v>1</x:v>
      </x:c>
      <x:c r="E183" s="22" t="n">
        <x:v>1</x:v>
      </x:c>
      <x:c r="F183" s="24" t="str">
        <x:v>Rare</x:v>
      </x:c>
      <x:c r="G183" s="24" t="str">
        <x:v>Tech</x:v>
      </x:c>
      <x:c r="H183" s="24" t="str">
        <x:v>Neutral</x:v>
      </x:c>
      <x:c r="I183" s="18" t="str">
        <x:v>Battlecry: Discover 3 Tech cards in the deck, choose and draw one</x:v>
      </x:c>
      <x:c r="J183" s="18" t="str">
        <x:v>His brain never stopped growing</x:v>
      </x:c>
      <x:c r="K183" s="18" t="str">
        <x:v>One Piece</x:v>
      </x:c>
      <x:c r="L183" s="17" t="str">
        <x:v>c167</x:v>
      </x:c>
    </x:row>
    <x:row r="184" ht="44" customHeight="1">
      <x:c r="A184" s="21" t="n">
        <x:v>1</x:v>
      </x:c>
      <x:c r="B184" s="14" t="str">
        <x:v>Walter White</x:v>
      </x:c>
      <x:c r="C184" s="23" t="str">
        <x:f>D184&amp;"/"&amp;E184</x:f>
        <x:v>1/1</x:v>
      </x:c>
      <x:c r="D184" s="21" t="n">
        <x:v>1</x:v>
      </x:c>
      <x:c r="E184" s="21" t="n">
        <x:v>1</x:v>
      </x:c>
      <x:c r="F184" s="23" t="str">
        <x:v>Rare</x:v>
      </x:c>
      <x:c r="G184" s="23" t="str">
        <x:v>Tech</x:v>
      </x:c>
      <x:c r="H184" s="23" t="str">
        <x:v>Neutral</x:v>
      </x:c>
      <x:c r="I184" s="13" t="str">
        <x:v>Battlecry: Choose another friendly Neutral minion. Double its ATK, but set its HP to 1</x:v>
      </x:c>
      <x:c r="J184" s="13" t="str">
        <x:v>Say. My. Name</x:v>
      </x:c>
      <x:c r="K184" s="13" t="str">
        <x:v>Breaking Bad</x:v>
      </x:c>
      <x:c r="L184" s="12" t="str">
        <x:v>c168</x:v>
      </x:c>
    </x:row>
  </x:sheetData>
  <x:conditionalFormatting sqref="F2:F184">
    <x:cfRule type="containsText" dxfId="0" priority="1" operator="containsText" text="Rare"/>
    <x:cfRule type="containsText" dxfId="1" priority="2" operator="containsText" text="Epic"/>
    <x:cfRule type="containsText" dxfId="2" priority="3" operator="containsText" text="Legendary"/>
    <x:cfRule type="containsText" dxfId="3" priority="4" operator="containsText" text="Mythic"/>
  </x:conditionalFormatting>
  <x:conditionalFormatting sqref="G2:G184">
    <x:cfRule type="containsText" dxfId="4" priority="5" operator="containsText" text="Tech"/>
    <x:cfRule type="containsText" dxfId="5" priority="6" operator="containsText" text="Nature"/>
    <x:cfRule type="containsText" dxfId="6" priority="7" operator="containsText" text="Magic"/>
    <x:cfRule type="containsText" dxfId="7" priority="8" operator="containsText" text="ALL"/>
  </x:conditionalFormatting>
  <x:conditionalFormatting sqref="H2:H184">
    <x:cfRule type="containsText" dxfId="8" priority="9" operator="containsText" text="Good"/>
    <x:cfRule type="containsText" dxfId="9" priority="10" operator="containsText" text="Evil"/>
    <x:cfRule type="containsText" dxfId="10" priority="11" operator="containsText" text="Neutral"/>
  </x:conditionalFormatting>
  <x:pageMargins left="0.7" right="0.7" top="0.75" bottom="0.75" header="0.3" footer="0.3"/>
  <x:tableParts count="1">
    <x:tablePart xmlns:r="http://schemas.openxmlformats.org/officeDocument/2006/relationships" r:id="Rd1dd7ffecd824c66"/>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 hidden="0" customWidth="1"/>
    <x:col min="2" max="2" width="33" hidden="0" customWidth="1"/>
    <x:col min="3" max="3" width="75" hidden="0" customWidth="1"/>
    <x:col min="4" max="4" width="44" hidden="0" customWidth="1"/>
    <x:col min="5" max="5" width="27" hidden="0" customWidth="1"/>
    <x:col min="6" max="6" width="12" hidden="0" customWidth="1"/>
  </x:cols>
  <x:sheetData>
    <x:row r="1" ht="28" customHeight="1">
      <x:c r="A1" s="6" t="str">
        <x:v>Cost</x:v>
      </x:c>
      <x:c r="B1" s="6" t="str">
        <x:v>Name</x:v>
      </x:c>
      <x:c r="C1" s="6" t="str">
        <x:v>Card Effect</x:v>
      </x:c>
      <x:c r="D1" s="6" t="str">
        <x:v>Flavor Text</x:v>
      </x:c>
      <x:c r="E1" s="6" t="str">
        <x:v>Origin</x:v>
      </x:c>
      <x:c r="F1" s="6" t="str">
        <x:v>Card ID</x:v>
      </x:c>
    </x:row>
    <x:row r="2" ht="42" customHeight="1">
      <x:c r="A2" s="21" t="n">
        <x:v>7</x:v>
      </x:c>
      <x:c r="B2" s="14" t="str">
        <x:v>Dragon Balls</x:v>
      </x:c>
      <x:c r="C2" s="13" t="str">
        <x:v>Summon Shenron after the bearer dies</x:v>
      </x:c>
      <x:c r="D2" s="13" t="str">
        <x:v>RELIC</x:v>
      </x:c>
      <x:c r="E2" s="13" t="str">
        <x:v>Dragon Ball</x:v>
      </x:c>
      <x:c r="F2" s="12" t="str">
        <x:v>r026</x:v>
      </x:c>
    </x:row>
    <x:row r="3" ht="44" customHeight="1">
      <x:c r="A3" s="22" t="n">
        <x:v>5</x:v>
      </x:c>
      <x:c r="B3" s="19" t="str">
        <x:v>Mjolnir</x:v>
      </x:c>
      <x:c r="C3" s="18" t="str">
        <x:v>Can only be equipped by Good minions. The bearer is Invulnerable while attacking</x:v>
      </x:c>
      <x:c r="D3" s="18" t="str">
        <x:v>RELIC</x:v>
      </x:c>
      <x:c r="E3" s="18" t="str">
        <x:v>Marvel</x:v>
      </x:c>
      <x:c r="F3" s="17" t="str">
        <x:v>r027</x:v>
      </x:c>
    </x:row>
    <x:row r="4" ht="42" customHeight="1">
      <x:c r="A4" s="21" t="n">
        <x:v>5</x:v>
      </x:c>
      <x:c r="B4" s="14" t="str">
        <x:v>The Holy Grail</x:v>
      </x:c>
      <x:c r="C4" s="13" t="str">
        <x:v>The bearer doubles its ATK and HP</x:v>
      </x:c>
      <x:c r="D4" s="13" t="str">
        <x:v>RELIC</x:v>
      </x:c>
      <x:c r="E4" s="13" t="str">
        <x:v>Myth</x:v>
      </x:c>
      <x:c r="F4" s="12" t="str">
        <x:v>r001</x:v>
      </x:c>
    </x:row>
    <x:row r="5" ht="42" customHeight="1">
      <x:c r="A5" s="22" t="n">
        <x:v>4</x:v>
      </x:c>
      <x:c r="B5" s="19" t="str">
        <x:v>Ark of the Covenant</x:v>
      </x:c>
      <x:c r="C5" s="18" t="str">
        <x:v>The bearer gains Divine Shield</x:v>
      </x:c>
      <x:c r="D5" s="18" t="str">
        <x:v>RELIC</x:v>
      </x:c>
      <x:c r="E5" s="18" t="str">
        <x:v>Indiana Jones</x:v>
      </x:c>
      <x:c r="F5" s="17" t="str">
        <x:v>r024</x:v>
      </x:c>
    </x:row>
    <x:row r="6" ht="42" customHeight="1">
      <x:c r="A6" s="21" t="n">
        <x:v>4</x:v>
      </x:c>
      <x:c r="B6" s="14" t="str">
        <x:v>Infinity Castle</x:v>
      </x:c>
      <x:c r="C6" s="13" t="str">
        <x:v>The bearer's Evade chance is 50%</x:v>
      </x:c>
      <x:c r="D6" s="13" t="str">
        <x:v>RELIC</x:v>
      </x:c>
      <x:c r="E6" s="13" t="str">
        <x:v>Demon Slayer</x:v>
      </x:c>
      <x:c r="F6" s="12" t="str">
        <x:v>r021</x:v>
      </x:c>
    </x:row>
    <x:row r="7" ht="44" customHeight="1">
      <x:c r="A7" s="22" t="n">
        <x:v>4</x:v>
      </x:c>
      <x:c r="B7" s="19" t="str">
        <x:v>One Ring</x:v>
      </x:c>
      <x:c r="C7" s="18" t="str">
        <x:v>The first time the bearer would die, set it to full HP instead and destroy this relic</x:v>
      </x:c>
      <x:c r="D7" s="18" t="str">
        <x:v>RELIC</x:v>
      </x:c>
      <x:c r="E7" s="18" t="str">
        <x:v>Lord of The Rings</x:v>
      </x:c>
      <x:c r="F7" s="17" t="str">
        <x:v>r003</x:v>
      </x:c>
    </x:row>
    <x:row r="8" ht="44" customHeight="1">
      <x:c r="A8" s="21" t="n">
        <x:v>4</x:v>
      </x:c>
      <x:c r="B8" s="14" t="str">
        <x:v>Philosopher's Stone</x:v>
      </x:c>
      <x:c r="C8" s="13" t="str">
        <x:v>The bearer takes double damage on the enemy's turn but is invulnerable on your own</x:v>
      </x:c>
      <x:c r="D8" s="13" t="str">
        <x:v>RELIC</x:v>
      </x:c>
      <x:c r="E8" s="13" t="str">
        <x:v>Myth</x:v>
      </x:c>
      <x:c r="F8" s="12" t="str">
        <x:v>r012</x:v>
      </x:c>
    </x:row>
    <x:row r="9" ht="42" customHeight="1">
      <x:c r="A9" s="22" t="n">
        <x:v>4</x:v>
      </x:c>
      <x:c r="B9" s="19" t="str">
        <x:v>Tesseract</x:v>
      </x:c>
      <x:c r="C9" s="18" t="str">
        <x:v>The bearer can attack twice each turn</x:v>
      </x:c>
      <x:c r="D9" s="18" t="str">
        <x:v>RELIC</x:v>
      </x:c>
      <x:c r="E9" s="18" t="str">
        <x:v>MCU</x:v>
      </x:c>
      <x:c r="F9" s="17" t="str">
        <x:v>r020</x:v>
      </x:c>
    </x:row>
    <x:row r="10" ht="42" customHeight="1">
      <x:c r="A10" s="21" t="n">
        <x:v>3</x:v>
      </x:c>
      <x:c r="B10" s="14" t="str">
        <x:v>Chamber of Secrets</x:v>
      </x:c>
      <x:c r="C10" s="13" t="str">
        <x:v>The bearer is invulnerable to Nature attacks while defending</x:v>
      </x:c>
      <x:c r="D10" s="13" t="str">
        <x:v>RELIC</x:v>
      </x:c>
      <x:c r="E10" s="13" t="str">
        <x:v>Harry Potter</x:v>
      </x:c>
      <x:c r="F10" s="12" t="str">
        <x:v>r007</x:v>
      </x:c>
    </x:row>
    <x:row r="11" ht="42" customHeight="1">
      <x:c r="A11" s="22" t="n">
        <x:v>3</x:v>
      </x:c>
      <x:c r="B11" s="19" t="str">
        <x:v>Cyber-Enchantment</x:v>
      </x:c>
      <x:c r="C11" s="18" t="str">
        <x:v>The bearer is invulnerable to Tech attacks while defending</x:v>
      </x:c>
      <x:c r="D11" s="18" t="str">
        <x:v>RELIC</x:v>
      </x:c>
      <x:c r="E11" s="18" t="str">
        <x:v>Myth</x:v>
      </x:c>
      <x:c r="F11" s="17" t="str">
        <x:v>r008</x:v>
      </x:c>
    </x:row>
    <x:row r="12" ht="42" customHeight="1">
      <x:c r="A12" s="21" t="n">
        <x:v>3</x:v>
      </x:c>
      <x:c r="B12" s="14" t="str">
        <x:v>Ea</x:v>
      </x:c>
      <x:c r="C12" s="13" t="str">
        <x:v>The bearer's ATK is doubled</x:v>
      </x:c>
      <x:c r="D12" s="13" t="str">
        <x:v>RELIC</x:v>
      </x:c>
      <x:c r="E12" s="13" t="str">
        <x:v>Fate</x:v>
      </x:c>
      <x:c r="F12" s="12" t="str">
        <x:v>r009</x:v>
      </x:c>
    </x:row>
    <x:row r="13" ht="42" customHeight="1">
      <x:c r="A13" s="22" t="n">
        <x:v>3</x:v>
      </x:c>
      <x:c r="B13" s="19" t="str">
        <x:v>Infinity Stone</x:v>
      </x:c>
      <x:c r="C13" s="18" t="str">
        <x:v>The bearer's attacks also strike the two minions adjacent to its target</x:v>
      </x:c>
      <x:c r="D13" s="18" t="str">
        <x:v>RELIC</x:v>
      </x:c>
      <x:c r="E13" s="18" t="str">
        <x:v>MCU</x:v>
      </x:c>
      <x:c r="F13" s="17" t="str">
        <x:v>r005</x:v>
      </x:c>
    </x:row>
    <x:row r="14" ht="42" customHeight="1">
      <x:c r="A14" s="21" t="n">
        <x:v>3</x:v>
      </x:c>
      <x:c r="B14" s="14" t="str">
        <x:v>Lostvayne</x:v>
      </x:c>
      <x:c r="C14" s="13" t="str">
        <x:v>The bearer is invulnerable to Magic attacks while defending</x:v>
      </x:c>
      <x:c r="D14" s="13" t="str">
        <x:v>RELIC</x:v>
      </x:c>
      <x:c r="E14" s="13" t="str">
        <x:v>Seven Deadly Sins</x:v>
      </x:c>
      <x:c r="F14" s="12" t="str">
        <x:v>r002</x:v>
      </x:c>
    </x:row>
    <x:row r="15" ht="44" customHeight="1">
      <x:c r="A15" s="22" t="n">
        <x:v>3</x:v>
      </x:c>
      <x:c r="B15" s="19" t="str">
        <x:v>Omnitrix</x:v>
      </x:c>
      <x:c r="C15" s="18" t="str">
        <x:v>At the start of your turn transform the bearer into a random minion that costs 1 more</x:v>
      </x:c>
      <x:c r="D15" s="18" t="str">
        <x:v>RELIC</x:v>
      </x:c>
      <x:c r="E15" s="18" t="str">
        <x:v>Ben 10</x:v>
      </x:c>
      <x:c r="F15" s="17" t="str">
        <x:v>r029</x:v>
      </x:c>
    </x:row>
    <x:row r="16" ht="42" customHeight="1">
      <x:c r="A16" s="21" t="n">
        <x:v>3</x:v>
      </x:c>
      <x:c r="B16" s="14" t="str">
        <x:v>White Whistle</x:v>
      </x:c>
      <x:c r="C16" s="13" t="str">
        <x:v>The bearer's Battlecry effect turns into Ongoing effect</x:v>
      </x:c>
      <x:c r="D16" s="13" t="str">
        <x:v>RELIC</x:v>
      </x:c>
      <x:c r="E16" s="13" t="str">
        <x:v>Made in Abyss</x:v>
      </x:c>
      <x:c r="F16" s="12" t="str">
        <x:v>r006</x:v>
      </x:c>
    </x:row>
    <x:row r="17" ht="42" customHeight="1">
      <x:c r="A17" s="22" t="n">
        <x:v>2</x:v>
      </x:c>
      <x:c r="B17" s="19" t="str">
        <x:v>Devil Fruit</x:v>
      </x:c>
      <x:c r="C17" s="18" t="str">
        <x:v>The bearer gains an additional Ongoing: gain +2/+1</x:v>
      </x:c>
      <x:c r="D17" s="18" t="str">
        <x:v>RELIC</x:v>
      </x:c>
      <x:c r="E17" s="18" t="str">
        <x:v>One Piece</x:v>
      </x:c>
      <x:c r="F17" s="17" t="str">
        <x:v>r015</x:v>
      </x:c>
    </x:row>
    <x:row r="18" ht="42" customHeight="1">
      <x:c r="A18" s="21" t="n">
        <x:v>2</x:v>
      </x:c>
      <x:c r="B18" s="14" t="str">
        <x:v>Excalibur</x:v>
      </x:c>
      <x:c r="C18" s="13" t="str">
        <x:v>Can only be equipped by Good minions. The bearer gains Charge</x:v>
      </x:c>
      <x:c r="D18" s="13" t="str">
        <x:v>RELIC</x:v>
      </x:c>
      <x:c r="E18" s="13" t="str">
        <x:v>Arthurian Legend</x:v>
      </x:c>
      <x:c r="F18" s="12" t="str">
        <x:v>r028</x:v>
      </x:c>
    </x:row>
    <x:row r="19" ht="42" customHeight="1">
      <x:c r="A19" s="22" t="n">
        <x:v>2</x:v>
      </x:c>
      <x:c r="B19" s="19" t="str">
        <x:v>Monster Cell</x:v>
      </x:c>
      <x:c r="C19" s="18" t="str">
        <x:v>The bearer gains +2/+2 and Taunt</x:v>
      </x:c>
      <x:c r="D19" s="18" t="str">
        <x:v>RELIC</x:v>
      </x:c>
      <x:c r="E19" s="18" t="str">
        <x:v>OPM</x:v>
      </x:c>
      <x:c r="F19" s="17" t="str">
        <x:v>r011</x:v>
      </x:c>
    </x:row>
    <x:row r="20" ht="42" customHeight="1">
      <x:c r="A20" s="21" t="n">
        <x:v>2</x:v>
      </x:c>
      <x:c r="B20" s="14" t="str">
        <x:v>Necronomicon</x:v>
      </x:c>
      <x:c r="C20" s="13" t="str">
        <x:v>The bearer's Deathrattle triggers twice</x:v>
      </x:c>
      <x:c r="D20" s="13" t="str">
        <x:v>RELIC</x:v>
      </x:c>
      <x:c r="E20" s="13" t="str">
        <x:v>Myth</x:v>
      </x:c>
      <x:c r="F20" s="12" t="str">
        <x:v>r025</x:v>
      </x:c>
    </x:row>
    <x:row r="21" ht="42" customHeight="1">
      <x:c r="A21" s="22" t="n">
        <x:v>2</x:v>
      </x:c>
      <x:c r="B21" s="19" t="str">
        <x:v>Pandora's Box</x:v>
      </x:c>
      <x:c r="C21" s="18" t="str">
        <x:v>The bearer gains an effect of a random relic</x:v>
      </x:c>
      <x:c r="D21" s="18" t="str">
        <x:v>RELIC</x:v>
      </x:c>
      <x:c r="E21" s="18" t="str">
        <x:v>Myth</x:v>
      </x:c>
      <x:c r="F21" s="17" t="str">
        <x:v>r022</x:v>
      </x:c>
    </x:row>
    <x:row r="22" ht="42" customHeight="1">
      <x:c r="A22" s="21" t="n">
        <x:v>2</x:v>
      </x:c>
      <x:c r="B22" s="14" t="str">
        <x:v>Queen's Cocoon</x:v>
      </x:c>
      <x:c r="C22" s="13" t="str">
        <x:v>The bearer is Chained. When it awakens, it gains +3/+3</x:v>
      </x:c>
      <x:c r="D22" s="13" t="str">
        <x:v>RELIC</x:v>
      </x:c>
      <x:c r="E22" s="13" t="str">
        <x:v>Hxh</x:v>
      </x:c>
      <x:c r="F22" s="12" t="str">
        <x:v>r017</x:v>
      </x:c>
    </x:row>
    <x:row r="23" ht="42" customHeight="1">
      <x:c r="A23" s="22" t="n">
        <x:v>2</x:v>
      </x:c>
      <x:c r="B23" s="19" t="str">
        <x:v>The Green Mask</x:v>
      </x:c>
      <x:c r="C23" s="18" t="str">
        <x:v>Return the bearer to your hand after death</x:v>
      </x:c>
      <x:c r="D23" s="18" t="str">
        <x:v>RELIC</x:v>
      </x:c>
      <x:c r="E23" s="18" t="str">
        <x:v>The Mask</x:v>
      </x:c>
      <x:c r="F23" s="17" t="str">
        <x:v>r019</x:v>
      </x:c>
    </x:row>
    <x:row r="24" ht="42" customHeight="1">
      <x:c r="A24" s="21" t="n">
        <x:v>2</x:v>
      </x:c>
      <x:c r="B24" s="14" t="str">
        <x:v>The Monkey's Paw</x:v>
      </x:c>
      <x:c r="C24" s="13" t="str">
        <x:v>The bearer gains +5/+5. It dies next turn</x:v>
      </x:c>
      <x:c r="D24" s="13" t="str">
        <x:v>RELIC</x:v>
      </x:c>
      <x:c r="E24" s="13" t="str">
        <x:v>Myth</x:v>
      </x:c>
      <x:c r="F24" s="12" t="str">
        <x:v>r023</x:v>
      </x:c>
    </x:row>
    <x:row r="25" ht="44" customHeight="1">
      <x:c r="A25" s="22" t="n">
        <x:v>2</x:v>
      </x:c>
      <x:c r="B25" s="19" t="str">
        <x:v>Time Turner</x:v>
      </x:c>
      <x:c r="C25" s="18" t="str">
        <x:v>At the start of your turn if the bearer is damaged restore it to the HP it had at the start of your previous turn</x:v>
      </x:c>
      <x:c r="D25" s="18" t="str">
        <x:v>RELIC</x:v>
      </x:c>
      <x:c r="E25" s="18" t="str">
        <x:v>Harry Potter</x:v>
      </x:c>
      <x:c r="F25" s="17" t="str">
        <x:v>r032</x:v>
      </x:c>
    </x:row>
    <x:row r="26" ht="44" customHeight="1">
      <x:c r="A26" s="21" t="n">
        <x:v>1</x:v>
      </x:c>
      <x:c r="B26" s="14" t="str">
        <x:v>Allspark Cube</x:v>
      </x:c>
      <x:c r="C26" s="13" t="str">
        <x:v>When the bearer kills an enemy minion, take that minion as a card to your hand</x:v>
      </x:c>
      <x:c r="D26" s="13" t="str">
        <x:v>RELIC</x:v>
      </x:c>
      <x:c r="E26" s="13" t="str">
        <x:v>Transformers</x:v>
      </x:c>
      <x:c r="F26" s="12" t="str">
        <x:v>r013</x:v>
      </x:c>
    </x:row>
    <x:row r="27" ht="42" customHeight="1">
      <x:c r="A27" s="22" t="n">
        <x:v>1</x:v>
      </x:c>
      <x:c r="B27" s="19" t="str">
        <x:v>Anti-magic Mask</x:v>
      </x:c>
      <x:c r="C27" s="18" t="str">
        <x:v>The bearer is immune to Freeze and Chained</x:v>
      </x:c>
      <x:c r="D27" s="18" t="str">
        <x:v>RELIC</x:v>
      </x:c>
      <x:c r="E27" s="18" t="str">
        <x:v>That time I got reincarnated as a Slime</x:v>
      </x:c>
      <x:c r="F27" s="17" t="str">
        <x:v>r014</x:v>
      </x:c>
    </x:row>
    <x:row r="28" ht="42" customHeight="1">
      <x:c r="A28" s="21" t="n">
        <x:v>1</x:v>
      </x:c>
      <x:c r="B28" s="14" t="str">
        <x:v>Elder wand</x:v>
      </x:c>
      <x:c r="C28" s="13" t="str">
        <x:v>The bearer is immune to Silence</x:v>
      </x:c>
      <x:c r="D28" s="13" t="str">
        <x:v>RELIC</x:v>
      </x:c>
      <x:c r="E28" s="13" t="str">
        <x:v>Harry Potter</x:v>
      </x:c>
      <x:c r="F28" s="12" t="str">
        <x:v>r010</x:v>
      </x:c>
    </x:row>
    <x:row r="29" ht="42" customHeight="1">
      <x:c r="A29" s="22" t="n">
        <x:v>1</x:v>
      </x:c>
      <x:c r="B29" s="19" t="str">
        <x:v>Green Lantern Ring</x:v>
      </x:c>
      <x:c r="C29" s="18" t="str">
        <x:v>At the end of your turn, if the bearer did not attack, give it +2/+1</x:v>
      </x:c>
      <x:c r="D29" s="18" t="str">
        <x:v>RELIC</x:v>
      </x:c>
      <x:c r="E29" s="18" t="str">
        <x:v>DC</x:v>
      </x:c>
      <x:c r="F29" s="17" t="str">
        <x:v>r035</x:v>
      </x:c>
    </x:row>
    <x:row r="30" ht="42" customHeight="1">
      <x:c r="A30" s="21" t="n">
        <x:v>1</x:v>
      </x:c>
      <x:c r="B30" s="14" t="str">
        <x:v>Healing Potion</x:v>
      </x:c>
      <x:c r="C30" s="13" t="str">
        <x:v>The bearer is fully healed the moment it is equipped</x:v>
      </x:c>
      <x:c r="D30" s="13" t="str">
        <x:v>RELIC</x:v>
      </x:c>
      <x:c r="E30" s="13" t="str">
        <x:v>That time I got reincarnated as a Slime</x:v>
      </x:c>
      <x:c r="F30" s="12" t="str">
        <x:v>r016</x:v>
      </x:c>
    </x:row>
    <x:row r="31" ht="42" customHeight="1">
      <x:c r="A31" s="22" t="n">
        <x:v>1</x:v>
      </x:c>
      <x:c r="B31" s="19" t="str">
        <x:v>Neuralyzer</x:v>
      </x:c>
      <x:c r="C31" s="18" t="str">
        <x:v>Remove all negative effects from the bearer</x:v>
      </x:c>
      <x:c r="D31" s="18" t="str">
        <x:v>RELIC</x:v>
      </x:c>
      <x:c r="E31" s="18" t="str">
        <x:v>Men in Black</x:v>
      </x:c>
      <x:c r="F31" s="17" t="str">
        <x:v>r034</x:v>
      </x:c>
    </x:row>
    <x:row r="32" ht="42" customHeight="1">
      <x:c r="A32" s="21" t="n">
        <x:v>1</x:v>
      </x:c>
      <x:c r="B32" s="14" t="str">
        <x:v>Poké Ball</x:v>
      </x:c>
      <x:c r="C32" s="13" t="str">
        <x:v>Return the bearer to your hand</x:v>
      </x:c>
      <x:c r="D32" s="13" t="str">
        <x:v>RELIC</x:v>
      </x:c>
      <x:c r="E32" s="13" t="str">
        <x:v>Pokémon</x:v>
      </x:c>
      <x:c r="F32" s="12" t="str">
        <x:v>r031</x:v>
      </x:c>
    </x:row>
    <x:row r="33" ht="42" customHeight="1">
      <x:c r="A33" s="22" t="n">
        <x:v>1</x:v>
      </x:c>
      <x:c r="B33" s="19" t="str">
        <x:v>Shinigami Eyes</x:v>
      </x:c>
      <x:c r="C33" s="18" t="str">
        <x:v>The bearer ignores Taunt and Divine Shield</x:v>
      </x:c>
      <x:c r="D33" s="18" t="str">
        <x:v>RELIC</x:v>
      </x:c>
      <x:c r="E33" s="18" t="str">
        <x:v>Death Note</x:v>
      </x:c>
      <x:c r="F33" s="17" t="str">
        <x:v>r018</x:v>
      </x:c>
    </x:row>
    <x:row r="34" ht="44" customHeight="1">
      <x:c r="A34" s="21" t="n">
        <x:v>1</x:v>
      </x:c>
      <x:c r="B34" s="14" t="str">
        <x:v>Stand Arrow</x:v>
      </x:c>
      <x:c r="C34" s="13" t="str">
        <x:v>50% chance to transform the bearer into a random minion that costs 2 more; otherwise Silence it</x:v>
      </x:c>
      <x:c r="D34" s="13" t="str">
        <x:v>RELIC</x:v>
      </x:c>
      <x:c r="E34" s="13" t="str">
        <x:v>JoJo</x:v>
      </x:c>
      <x:c r="F34" s="12" t="str">
        <x:v>r030</x:v>
      </x:c>
    </x:row>
    <x:row r="35" ht="42" customHeight="1">
      <x:c r="A35" s="22" t="n">
        <x:v>1</x:v>
      </x:c>
      <x:c r="B35" s="19" t="str">
        <x:v>Symbiote</x:v>
      </x:c>
      <x:c r="C35" s="18" t="str">
        <x:v>When the bearer dies leave it Chained with 1 HP instead</x:v>
      </x:c>
      <x:c r="D35" s="18" t="str">
        <x:v>RELIC</x:v>
      </x:c>
      <x:c r="E35" s="18" t="str">
        <x:v>Marvel</x:v>
      </x:c>
      <x:c r="F35" s="17" t="str">
        <x:v>r033</x:v>
      </x:c>
    </x:row>
  </x:sheetData>
  <x:pageMargins left="0.7" right="0.7" top="0.75" bottom="0.75" header="0.3" footer="0.3"/>
  <x:tableParts count="1">
    <x:tablePart xmlns:r="http://schemas.openxmlformats.org/officeDocument/2006/relationships" r:id="Rc154ec3e27f54fa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5" hidden="0" customWidth="1"/>
  </x:cols>
  <x:sheetData>
    <x:row r="1" ht="28" customHeight="1">
      <x:c r="A1" s="25" t="str">
        <x:v>Convergence rules</x:v>
      </x:c>
    </x:row>
    <x:row r="2" ht="28" customHeight="1">
      <x:c r="A2" s="2"/>
    </x:row>
    <x:row r="3" ht="34" customHeight="1">
      <x:c r="A3" s="9" t="str">
        <x:v>Both cores begin at 30 health. Reduce the opposing core to zero to win.</x:v>
      </x:c>
    </x:row>
    <x:row r="4" ht="50" customHeight="1">
      <x:c r="A4" s="9" t="str">
        <x:v>Each player draws from their own shuffled 30-card deck and opens with 3 cards. Solo play offers one opening mulligan; Local Duel offers one private mulligan per player. The second Local Duel player receives The Coin.</x:v>
      </x:c>
    </x:row>
    <x:row r="5" ht="34" customHeight="1">
      <x:c r="A5" s="9" t="str">
        <x:v>At the start of a turn, draw one card. Mana begins at 1, refills each turn, and increases by one up to 10.</x:v>
      </x:c>
    </x:row>
    <x:row r="6" ht="34" customHeight="1">
      <x:c r="A6" s="9" t="str">
        <x:v>Your hand holds at most 10 cards. A card drawn into a full hand burns.</x:v>
      </x:c>
    </x:row>
    <x:row r="7" ht="34" customHeight="1">
      <x:c r="A7" s="9" t="str">
        <x:v>Pay a card's mana cost to play it. Each player has four board slots. Summons need an available slot.</x:v>
      </x:c>
    </x:row>
    <x:row r="8" ht="34" customHeight="1">
      <x:c r="A8" s="9" t="str">
        <x:v>A newly played minion normally sleeps until its owner's next turn. Charge allows an immediate attack.</x:v>
      </x:c>
    </x:row>
    <x:row r="9" ht="50" customHeight="1">
      <x:c r="A9" s="9" t="str">
        <x:v>A ready minion attacks once per turn. Combat damage is simultaneous: defenders hit back even when the attack destroys them.</x:v>
      </x:c>
    </x:row>
    <x:row r="10" ht="34" customHeight="1">
      <x:c r="A10" s="9" t="str">
        <x:v>Taunt prevents attacks on the opposing core until its defence is removed, unless an effect explicitly bypasses it.</x:v>
      </x:c>
    </x:row>
    <x:row r="11" ht="50" customHeight="1">
      <x:c r="A11" s="9" t="str">
        <x:v>Chained minions lose two of their own turns. They cannot attack, activate Passive or Ongoing effects, or be targeted while chained.</x:v>
      </x:c>
    </x:row>
    <x:row r="12" ht="34" customHeight="1">
      <x:c r="A12" s="9" t="str">
        <x:v>Freeze costs one attack turn. A frozen minion remains targetable and keeps its Passive effects.</x:v>
      </x:c>
    </x:row>
    <x:row r="13" ht="50" customHeight="1">
      <x:c r="A13" s="9" t="str">
        <x:v>Silence disables printed abilities and keywords, removes positive stat buffs, and retains stat reductions. It never heals a damaged minion.</x:v>
      </x:c>
    </x:row>
    <x:row r="14" ht="50" customHeight="1">
      <x:c r="A14" s="9" t="str">
        <x:v>Each minion can carry up to two relics. Returning it to hand discards its attached relics; its death destroys them unless their text says otherwise.</x:v>
      </x:c>
    </x:row>
    <x:row r="15" ht="50" customHeight="1">
      <x:c r="A15" s="9" t="str">
        <x:v>Earned player Hero Powers cost 2 mana and can be used once per turn. Boss powers have their own printed costs or passive rules.</x:v>
      </x:c>
    </x:row>
    <x:row r="16" ht="34" customHeight="1">
      <x:c r="A16" s="9" t="str">
        <x:v>When your own draw pile and bottom pile are empty, attempts to draw cause escalating fatigue damage: 1, 2, 3, and so on.</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3" hidden="0" customWidth="1"/>
    <x:col min="2" max="2" width="12" hidden="0" customWidth="1"/>
    <x:col min="3" max="3" width="4" hidden="0" customWidth="1"/>
    <x:col min="4" max="4" width="23" hidden="0" customWidth="1"/>
    <x:col min="5" max="5" width="12" hidden="0" customWidth="1"/>
  </x:cols>
  <x:sheetData>
    <x:row r="1" ht="28" customHeight="1">
      <x:c r="A1" s="7" t="str">
        <x:v>By Rarity</x:v>
      </x:c>
      <x:c r="B1" s="2"/>
      <x:c r="C1" s="2"/>
      <x:c r="D1" s="7" t="str">
        <x:v>By Mana Cost</x:v>
      </x:c>
      <x:c r="E1" s="2"/>
    </x:row>
    <x:row r="2" ht="28" customHeight="1">
      <x:c r="A2" s="2" t="str">
        <x:v>Mythic</x:v>
      </x:c>
      <x:c r="B2" s="8" t="n">
        <x:f>COUNTIF(Cards!F2:F184,A2)</x:f>
        <x:v>25</x:v>
      </x:c>
      <x:c r="C2" s="2"/>
      <x:c r="D2" s="8" t="n">
        <x:v>10</x:v>
      </x:c>
      <x:c r="E2" s="8" t="n">
        <x:f>COUNTIF(Cards!A2:A184,D2)+COUNTIF(Relics!A2:A35,D2)</x:f>
        <x:v>10</x:v>
      </x:c>
    </x:row>
    <x:row r="3" ht="28" customHeight="1">
      <x:c r="A3" s="2" t="str">
        <x:v>Legendary</x:v>
      </x:c>
      <x:c r="B3" s="8" t="n">
        <x:f>COUNTIF(Cards!F2:F184,A3)</x:f>
        <x:v>36</x:v>
      </x:c>
      <x:c r="C3" s="2"/>
      <x:c r="D3" s="8" t="n">
        <x:v>9</x:v>
      </x:c>
      <x:c r="E3" s="8" t="n">
        <x:f>COUNTIF(Cards!A2:A184,D3)+COUNTIF(Relics!A2:A35,D3)</x:f>
        <x:v>12</x:v>
      </x:c>
    </x:row>
    <x:row r="4" ht="28" customHeight="1">
      <x:c r="A4" s="2" t="str">
        <x:v>Epic</x:v>
      </x:c>
      <x:c r="B4" s="8" t="n">
        <x:f>COUNTIF(Cards!F2:F184,A4)</x:f>
        <x:v>46</x:v>
      </x:c>
      <x:c r="C4" s="2"/>
      <x:c r="D4" s="8" t="n">
        <x:v>8</x:v>
      </x:c>
      <x:c r="E4" s="8" t="n">
        <x:f>COUNTIF(Cards!A2:A184,D4)+COUNTIF(Relics!A2:A35,D4)</x:f>
        <x:v>17</x:v>
      </x:c>
    </x:row>
    <x:row r="5" ht="28" customHeight="1">
      <x:c r="A5" s="2" t="str">
        <x:v>Rare</x:v>
      </x:c>
      <x:c r="B5" s="8" t="n">
        <x:f>COUNTIF(Cards!F2:F184,A5)</x:f>
        <x:v>76</x:v>
      </x:c>
      <x:c r="C5" s="2"/>
      <x:c r="D5" s="8" t="n">
        <x:v>7</x:v>
      </x:c>
      <x:c r="E5" s="8" t="n">
        <x:f>COUNTIF(Cards!A2:A184,D5)+COUNTIF(Relics!A2:A35,D5)</x:f>
        <x:v>20</x:v>
      </x:c>
    </x:row>
    <x:row r="6" ht="28" customHeight="1">
      <x:c r="A6" s="2" t="str">
        <x:v>Total cards</x:v>
      </x:c>
      <x:c r="B6" s="8" t="n">
        <x:f>SUM(B2:B5)</x:f>
        <x:v>183</x:v>
      </x:c>
      <x:c r="C6" s="2"/>
      <x:c r="D6" s="8" t="n">
        <x:v>6</x:v>
      </x:c>
      <x:c r="E6" s="8" t="n">
        <x:f>COUNTIF(Cards!A2:A184,D6)+COUNTIF(Relics!A2:A35,D6)</x:f>
        <x:v>17</x:v>
      </x:c>
    </x:row>
    <x:row r="7" ht="28" customHeight="1">
      <x:c r="A7" s="2"/>
      <x:c r="B7" s="8"/>
      <x:c r="C7" s="2"/>
      <x:c r="D7" s="8" t="n">
        <x:v>5</x:v>
      </x:c>
      <x:c r="E7" s="8" t="n">
        <x:f>COUNTIF(Cards!A2:A184,D7)+COUNTIF(Relics!A2:A35,D7)</x:f>
        <x:v>22</x:v>
      </x:c>
    </x:row>
    <x:row r="8" ht="28" customHeight="1">
      <x:c r="A8" s="7" t="str">
        <x:v>By Camp</x:v>
      </x:c>
      <x:c r="B8" s="8"/>
      <x:c r="C8" s="2"/>
      <x:c r="D8" s="8" t="n">
        <x:v>4</x:v>
      </x:c>
      <x:c r="E8" s="8" t="n">
        <x:f>COUNTIF(Cards!A2:A184,D8)+COUNTIF(Relics!A2:A35,D8)</x:f>
        <x:v>39</x:v>
      </x:c>
    </x:row>
    <x:row r="9" ht="28" customHeight="1">
      <x:c r="A9" s="2" t="str">
        <x:v>Magic</x:v>
      </x:c>
      <x:c r="B9" s="8" t="n">
        <x:f>COUNTIF(Cards!G2:G184,A9)</x:f>
        <x:v>87</x:v>
      </x:c>
      <x:c r="C9" s="2"/>
      <x:c r="D9" s="8" t="n">
        <x:v>3</x:v>
      </x:c>
      <x:c r="E9" s="8" t="n">
        <x:f>COUNTIF(Cards!A2:A184,D9)+COUNTIF(Relics!A2:A35,D9)</x:f>
        <x:v>29</x:v>
      </x:c>
    </x:row>
    <x:row r="10" ht="28" customHeight="1">
      <x:c r="A10" s="2" t="str">
        <x:v>Tech</x:v>
      </x:c>
      <x:c r="B10" s="8" t="n">
        <x:f>COUNTIF(Cards!G2:G184,A10)</x:f>
        <x:v>37</x:v>
      </x:c>
      <x:c r="C10" s="2"/>
      <x:c r="D10" s="8" t="n">
        <x:v>2</x:v>
      </x:c>
      <x:c r="E10" s="8" t="n">
        <x:f>COUNTIF(Cards!A2:A184,D10)+COUNTIF(Relics!A2:A35,D10)</x:f>
        <x:v>23</x:v>
      </x:c>
    </x:row>
    <x:row r="11" ht="28" customHeight="1">
      <x:c r="A11" s="2" t="str">
        <x:v>Nature</x:v>
      </x:c>
      <x:c r="B11" s="8" t="n">
        <x:f>COUNTIF(Cards!G2:G184,A11)</x:f>
        <x:v>57</x:v>
      </x:c>
      <x:c r="C11" s="2"/>
      <x:c r="D11" s="8" t="n">
        <x:v>1</x:v>
      </x:c>
      <x:c r="E11" s="8" t="n">
        <x:f>COUNTIF(Cards!A2:A184,D11)+COUNTIF(Relics!A2:A35,D11)</x:f>
        <x:v>28</x:v>
      </x:c>
    </x:row>
    <x:row r="12" ht="28" customHeight="1">
      <x:c r="A12" s="2" t="str">
        <x:v>ALL</x:v>
      </x:c>
      <x:c r="B12" s="8" t="n">
        <x:f>COUNTIF(Cards!G2:G184,A12)</x:f>
        <x:v>2</x:v>
      </x:c>
      <x:c r="C12" s="2"/>
      <x:c r="D12" s="2"/>
      <x:c r="E12" s="8"/>
    </x:row>
    <x:row r="13" ht="28" customHeight="1">
      <x:c r="A13" s="2"/>
      <x:c r="B13" s="8"/>
      <x:c r="C13" s="2"/>
      <x:c r="D13" s="7" t="str">
        <x:v>By Alignment</x:v>
      </x:c>
      <x:c r="E13" s="8"/>
    </x:row>
    <x:row r="14" ht="28" customHeight="1">
      <x:c r="A14" s="2"/>
      <x:c r="B14" s="8"/>
      <x:c r="C14" s="2"/>
      <x:c r="D14" s="2" t="str">
        <x:v>Good</x:v>
      </x:c>
      <x:c r="E14" s="8" t="n">
        <x:f>COUNTIF(Cards!H2:H184,D14)</x:f>
        <x:v>56</x:v>
      </x:c>
    </x:row>
    <x:row r="15" ht="28" customHeight="1">
      <x:c r="A15" s="7" t="str">
        <x:v>Roster</x:v>
      </x:c>
      <x:c r="B15" s="8"/>
      <x:c r="C15" s="2"/>
      <x:c r="D15" s="2" t="str">
        <x:v>Neutral</x:v>
      </x:c>
      <x:c r="E15" s="8" t="n">
        <x:f>COUNTIF(Cards!H2:H184,D15)</x:f>
        <x:v>68</x:v>
      </x:c>
    </x:row>
    <x:row r="16" ht="28" customHeight="1">
      <x:c r="A16" s="2" t="str">
        <x:v>Cards</x:v>
      </x:c>
      <x:c r="B16" s="8" t="n">
        <x:f>COUNTA(Cards!L2:L184)</x:f>
        <x:v>183</x:v>
      </x:c>
      <x:c r="C16" s="2"/>
      <x:c r="D16" s="2" t="str">
        <x:v>Evil</x:v>
      </x:c>
      <x:c r="E16" s="8" t="n">
        <x:f>COUNTIF(Cards!H2:H184,D16)</x:f>
        <x:v>59</x:v>
      </x:c>
    </x:row>
    <x:row r="17" ht="28" customHeight="1">
      <x:c r="A17" s="2" t="str">
        <x:v>Relics</x:v>
      </x:c>
      <x:c r="B17" s="8" t="n">
        <x:f>COUNTA(Relics!F2:F35)</x:f>
        <x:v>34</x:v>
      </x:c>
      <x:c r="C17" s="2"/>
      <x:c r="D17" s="2"/>
      <x:c r="E17" s="8"/>
    </x:row>
    <x:row r="18" ht="28" customHeight="1">
      <x:c r="A18" s="2" t="str">
        <x:v>All collectible cards</x:v>
      </x:c>
      <x:c r="B18" s="8" t="n">
        <x:f>SUM(B16:B17)</x:f>
        <x:v>217</x:v>
      </x:c>
      <x:c r="C18" s="2"/>
      <x:c r="D18" s="26" t="str">
        <x:v>Mana includes relics</x:v>
      </x:c>
      <x:c r="E18" s="8"/>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15" hidden="0" customWidth="1"/>
    <x:col min="4" max="4" width="18" hidden="0" customWidth="1"/>
    <x:col min="5" max="5" width="12" hidden="0" customWidth="1"/>
    <x:col min="6" max="6" width="28" hidden="0" customWidth="1"/>
    <x:col min="7" max="7" width="14" hidden="0" customWidth="1"/>
    <x:col min="8" max="8" width="18" hidden="0" customWidth="1"/>
    <x:col min="9" max="9" width="34" hidden="0" customWidth="1"/>
    <x:col min="10" max="10" width="12" hidden="0" customWidth="1"/>
    <x:col min="11" max="11" width="64" hidden="0" customWidth="1"/>
    <x:col min="12" max="12" width="64" hidden="0" customWidth="1"/>
    <x:col min="13" max="13" width="64" hidden="0" customWidth="1"/>
    <x:col min="14" max="14" width="64" hidden="0" customWidth="1"/>
    <x:col min="15" max="15" width="60" hidden="0" customWidth="1"/>
  </x:cols>
  <x:sheetData>
    <x:row r="1" ht="30" customHeight="1">
      <x:c r="A1" s="30" t="str">
        <x:v>Lore Ranking — Canon Power Reference</x:v>
      </x:c>
      <x:c r="B1" s="30"/>
      <x:c r="C1" s="30"/>
      <x:c r="D1" s="30"/>
      <x:c r="E1" s="30"/>
      <x:c r="F1" s="30"/>
      <x:c r="G1" s="30"/>
      <x:c r="H1" s="30"/>
      <x:c r="I1" s="30"/>
      <x:c r="J1" s="30"/>
      <x:c r="K1" s="30"/>
      <x:c r="L1" s="30"/>
      <x:c r="M1" s="30"/>
      <x:c r="N1" s="30"/>
      <x:c r="O1" s="30"/>
    </x:row>
    <x:row r="2" ht="84" customHeight="1">
      <x:c r="A2" s="32" t="str">
        <x:v>Lore power describes the character in canon.
It does not determine playable card stats, or balance.
It only influences the decision on how much should the character cost in mana in game.
Stronger characters are given a higher mana cost, weaker characters are given a lower mana cost.
However, this cost balance only happens under direct supervision and permission from the user, never auto-applied from any AI/LLMs</x:v>
      </x:c>
      <x:c r="B2" s="32"/>
      <x:c r="C2" s="32"/>
      <x:c r="D2" s="32"/>
      <x:c r="E2" s="32"/>
      <x:c r="F2" s="32"/>
      <x:c r="G2" s="32"/>
      <x:c r="H2" s="32"/>
      <x:c r="I2" s="9"/>
      <x:c r="J2" s="9"/>
      <x:c r="K2" s="9"/>
      <x:c r="L2" s="9"/>
      <x:c r="M2" s="9"/>
      <x:c r="N2" s="9"/>
      <x:c r="O2" s="9"/>
    </x:row>
    <x:row r="3" ht="84" customHeight="1">
      <x:c r="A3" s="32"/>
      <x:c r="B3" s="32"/>
      <x:c r="C3" s="32"/>
      <x:c r="D3" s="32"/>
      <x:c r="E3" s="32"/>
      <x:c r="F3" s="32"/>
      <x:c r="G3" s="32"/>
      <x:c r="H3" s="32"/>
      <x:c r="I3" s="9"/>
      <x:c r="J3" s="9"/>
      <x:c r="K3" s="9"/>
      <x:c r="L3" s="9"/>
      <x:c r="M3" s="9"/>
      <x:c r="N3" s="9"/>
      <x:c r="O3" s="9"/>
    </x:row>
    <x:row r="4" ht="84" customHeight="1">
      <x:c r="A4" s="32"/>
      <x:c r="B4" s="32"/>
      <x:c r="C4" s="32"/>
      <x:c r="D4" s="32"/>
      <x:c r="E4" s="32"/>
      <x:c r="F4" s="32"/>
      <x:c r="G4" s="32"/>
      <x:c r="H4" s="32"/>
      <x:c r="I4" s="9"/>
      <x:c r="J4" s="9"/>
      <x:c r="K4" s="9"/>
      <x:c r="L4" s="9"/>
      <x:c r="M4" s="9"/>
      <x:c r="N4" s="9"/>
      <x:c r="O4" s="9"/>
    </x:row>
    <x:row r="5" ht="28" customHeight="1">
      <x:c r="A5" s="34" t="str">
        <x:v>Cost comparison is a reference only. The current playable cost is shown for review; this sheet never changes card costs.</x:v>
      </x:c>
      <x:c r="B5" s="34"/>
      <x:c r="C5" s="34"/>
      <x:c r="D5" s="34"/>
      <x:c r="E5" s="34"/>
      <x:c r="F5" s="34"/>
      <x:c r="G5" s="34"/>
      <x:c r="H5" s="34"/>
      <x:c r="I5" s="9"/>
      <x:c r="J5" s="9"/>
      <x:c r="K5" s="9"/>
      <x:c r="L5" s="9"/>
      <x:c r="M5" s="9"/>
      <x:c r="N5" s="9"/>
      <x:c r="O5" s="9"/>
    </x:row>
    <x:row r="6" ht="32" customHeight="1">
      <x:c r="A6" s="6" t="str">
        <x:v>Name</x:v>
      </x:c>
      <x:c r="B6" s="6" t="str">
        <x:v>Character Ranking Cost</x:v>
      </x:c>
      <x:c r="C6" s="6" t="str">
        <x:v>Current Playable Cost</x:v>
      </x:c>
      <x:c r="D6" s="6" t="str">
        <x:v>Cost Status</x:v>
      </x:c>
      <x:c r="E6" s="6" t="str">
        <x:v>Card ID</x:v>
      </x:c>
      <x:c r="F6" s="6" t="str">
        <x:v>Playable Card Name</x:v>
      </x:c>
      <x:c r="G6" s="6" t="str">
        <x:v>Camp</x:v>
      </x:c>
      <x:c r="H6" s="6" t="str">
        <x:v>Origin</x:v>
      </x:c>
      <x:c r="I6" s="6" t="str">
        <x:v>Version</x:v>
      </x:c>
      <x:c r="J6" s="6" t="str">
        <x:v>Quantity</x:v>
      </x:c>
      <x:c r="K6" s="6" t="str">
        <x:v>Key Feats</x:v>
      </x:c>
      <x:c r="L6" s="6" t="str">
        <x:v>Scaling</x:v>
      </x:c>
      <x:c r="M6" s="6" t="str">
        <x:v>Limitations</x:v>
      </x:c>
      <x:c r="N6" s="6" t="str">
        <x:v>Hax / Special Abilities</x:v>
      </x:c>
      <x:c r="O6" s="6" t="str">
        <x:v>Sources</x:v>
      </x:c>
    </x:row>
    <x:row r="7">
      <x:c r="A7" s="9" t="str">
        <x:v>Bill Cipher</x:v>
      </x:c>
      <x:c r="B7" s="36" t="n">
        <x:v>10</x:v>
      </x:c>
      <x:c r="C7" s="36" t="n">
        <x:f>IFERROR(INDEX(Cards!$A$2:$A$184,MATCH($E7,Cards!$L$2:$L$184,0)),"")</x:f>
        <x:v>10</x:v>
      </x:c>
      <x:c r="D7" s="36" t="str">
        <x:f>IF(C7="","NO PLAYABLE MATCH",IF(C7=B7,"MATCH","REVIEW"))</x:f>
        <x:v>MATCH</x:v>
      </x:c>
      <x:c r="E7" s="36" t="str">
        <x:v>c041</x:v>
      </x:c>
      <x:c r="F7" s="9" t="str">
        <x:v>Bill Cipher</x:v>
      </x:c>
      <x:c r="G7" s="9" t="str">
        <x:v>Magic</x:v>
      </x:c>
      <x:c r="H7" s="9" t="str">
        <x:v>Gravity Falls</x:v>
      </x:c>
      <x:c r="I7" s="9" t="str">
        <x:v>Weirdmageddon Bill Cipher (fully manifested, TV canon)</x:v>
      </x:c>
      <x:c r="J7" s="9" t="n">
        <x:v>1</x:v>
      </x:c>
      <x:c r="K7" s="9" t="str">
        <x:v>Reshapes matter and living beings across Gravity Falls; turns victims to stone/tapestries, changes his size/body at will, kills Time Baby with a single blast, and freely alters local physical reality during Weirdmageddon.</x:v>
      </x:c>
      <x:c r="L7" s="9" t="str">
        <x:v>Scales far above the town's ordinary supernatural threats; direct defeat of Time Baby is strong evidence against a powerful time-manipulating entity, but it does not by itself prove unrestricted universal attack power.</x:v>
      </x:c>
      <x:c r="M7" s="9" t="str">
        <x:v>Mind-entry/deal mechanics still require consent in situations where he needs access to a protected mind. Can be tricked; while inside a mind he can be erased with the host's memories. Entry/summoning and Weirdmageddon-barrier restrictions are ignored by rule.</x:v>
      </x:c>
      <x:c r="N7" s="9" t="str">
        <x:v>Reality and matter manipulation; transmutation; telekinesis; energy projection; size/shape alteration; mind/soul interaction; possession/deals; regeneration/reformation; dimensional awareness.</x:v>
      </x:c>
      <x:c r="O7" s="9" t="str">
        <x:v>Gravity Falls S2E18–20, 'Weirdmageddon' trilogy; https://gravityfalls.fandom.com/wiki/Weirdmageddon_Part_1</x:v>
      </x:c>
    </x:row>
    <x:row r="8">
      <x:c r="A8" s="9" t="str">
        <x:v>Black Hole</x:v>
      </x:c>
      <x:c r="B8" s="36" t="n">
        <x:v>10</x:v>
      </x:c>
      <x:c r="C8" s="36" t="n">
        <x:f>IFERROR(INDEX(Cards!$A$2:$A$184,MATCH($E8,Cards!$L$2:$L$184,0)),"")</x:f>
        <x:v>10</x:v>
      </x:c>
      <x:c r="D8" s="36" t="str">
        <x:f>IF(C8="","NO PLAYABLE MATCH",IF(C8=B8,"MATCH","REVIEW"))</x:f>
        <x:v>MATCH</x:v>
      </x:c>
      <x:c r="E8" s="36" t="str">
        <x:v>c178</x:v>
      </x:c>
      <x:c r="F8" s="9" t="str">
        <x:v>Black Hole</x:v>
      </x:c>
      <x:c r="G8" s="9" t="str">
        <x:v>Magic</x:v>
      </x:c>
      <x:c r="H8" s="9" t="str">
        <x:v>Basic</x:v>
      </x:c>
      <x:c r="I8" s="9" t="str">
        <x:v>Generic stellar-mass black hole (~10 solar masses benchmark)</x:v>
      </x:c>
      <x:c r="J8" s="9" t="n">
        <x:v>1</x:v>
      </x:c>
      <x:c r="K8" s="9" t="str">
        <x:v>A physical black hole benchmarked to the common stellar-mass class: an event horizon from which light cannot escape, extreme gravity/tidal forces, and destructive accretion if matter is available.</x:v>
      </x:c>
      <x:c r="L8" s="9" t="str">
        <x:v>This is a real-physics object rather than a combatant. Its threat depends overwhelmingly on assumed mass and starting distance; a ~10-solar-mass benchmark is used only to make the otherwise undefined card analyzable.</x:v>
      </x:c>
      <x:c r="M8" s="9" t="str">
        <x:v>No agency, targeting, movement strategy, or supernatural resistance. At ordinary distances its gravity follows the same mass-dependent laws as any other object; it is not an automatic 'sucks in the universe' effect.</x:v>
      </x:c>
      <x:c r="N8" s="9" t="str">
        <x:v>Event horizon; extreme gravitational field and tidal forces; matter capture/accretion; relativistic spacetime effects.</x:v>
      </x:c>
      <x:c r="O8" s="9" t="str">
        <x:v>NASA, 'What Are Black Holes?' https://www.nasa.gov/universe/what-are-black-holes/ ; NASA Black Holes https://science.nasa.gov/universe/black-holes/</x:v>
      </x:c>
    </x:row>
    <x:row r="9">
      <x:c r="A9" s="9" t="str">
        <x:v>Doctor Manhattan</x:v>
      </x:c>
      <x:c r="B9" s="36" t="n">
        <x:v>10</x:v>
      </x:c>
      <x:c r="C9" s="36" t="n">
        <x:f>IFERROR(INDEX(Cards!$A$2:$A$184,MATCH($E9,Cards!$L$2:$L$184,0)),"")</x:f>
        <x:v>10</x:v>
      </x:c>
      <x:c r="D9" s="36" t="str">
        <x:f>IF(C9="","NO PLAYABLE MATCH",IF(C9=B9,"MATCH","REVIEW"))</x:f>
        <x:v>MATCH</x:v>
      </x:c>
      <x:c r="E9" s="36" t="str">
        <x:v>c043</x:v>
      </x:c>
      <x:c r="F9" s="9" t="str">
        <x:v>Doctor Manhattan</x:v>
      </x:c>
      <x:c r="G9" s="9" t="str">
        <x:v>Magic</x:v>
      </x:c>
      <x:c r="H9" s="9" t="str">
        <x:v>Watchmen</x:v>
      </x:c>
      <x:c r="I9" s="9" t="str">
        <x:v>Doctor Manhattan, HBO Watchmen (2019) screen incarnation</x:v>
      </x:c>
      <x:c r="J9" s="9" t="n">
        <x:v>1</x:v>
      </x:c>
      <x:c r="K9" s="9" t="str">
        <x:v>Creates life on Europa and constructs its environment; disassembles and reconstructs matter/living beings; teleports across interplanetary distances; duplicates and enlarges himself; experiences past, present and future nonlinearly.</x:v>
      </x:c>
      <x:c r="L9" s="9" t="str">
        <x:v>Direct screen feats place him vastly above conventional physical combatants. His causal foreknowledge is unusual rather than simple reaction speed, and his apparent acceptance of events should not be treated as inability to act unless the story establishes it.</x:v>
      </x:c>
      <x:c r="M9" s="9" t="str">
        <x:v>His perception of time is deterministic and can constrain his choices psychologically/narratively. Tachyon interference can obscure his future perception. He can transfer his powers voluntarily.</x:v>
      </x:c>
      <x:c r="N9" s="9" t="str">
        <x:v>Matter/energy manipulation; disintegration/reconstruction; teleportation; duplication; size alteration; precognition/nonlinear time perception; life creation; intangibility-like molecular control.</x:v>
      </x:c>
      <x:c r="O9" s="9" t="str">
        <x:v>Watchmen (HBO) S1E8 'A God Walks into Abar'; https://www.hbo.com/watchmen</x:v>
      </x:c>
    </x:row>
    <x:row r="10">
      <x:c r="A10" s="9" t="str">
        <x:v>Flash</x:v>
      </x:c>
      <x:c r="B10" s="36" t="n">
        <x:v>10</x:v>
      </x:c>
      <x:c r="C10" s="36" t="n">
        <x:f>IFERROR(INDEX(Cards!$A$2:$A$184,MATCH($E10,Cards!$L$2:$L$184,0)),"")</x:f>
        <x:v>10</x:v>
      </x:c>
      <x:c r="D10" s="36" t="str">
        <x:f>IF(C10="","NO PLAYABLE MATCH",IF(C10=B10,"MATCH","REVIEW"))</x:f>
        <x:v>MATCH</x:v>
      </x:c>
      <x:c r="E10" s="36" t="str">
        <x:v>c028</x:v>
      </x:c>
      <x:c r="F10" s="9" t="str">
        <x:v>Flash</x:v>
      </x:c>
      <x:c r="G10" s="9" t="str">
        <x:v>Magic</x:v>
      </x:c>
      <x:c r="H10" s="9" t="str">
        <x:v>DCU</x:v>
      </x:c>
      <x:c r="I10" s="9" t="str">
        <x:v>Barry Allen / The Flash, DCEU (The Flash 2023)</x:v>
      </x:c>
      <x:c r="J10" s="9" t="n">
        <x:v>1</x:v>
      </x:c>
      <x:c r="K10" s="9" t="str">
        <x:v>Runs fast enough to enter the Chronobowl/Speed Force and travel through time; phases through matter; produces/uses electrical energy; perceives and acts while normal events are nearly frozen; can alter entire timelines through time travel.</x:v>
      </x:c>
      <x:c r="L10" s="9" t="str">
        <x:v>The 2023 film directly demonstrates timeline-scale consequences from time travel, but that is causality manipulation rather than evidence that his punches have universe-level destructive force.</x:v>
      </x:c>
      <x:c r="M10" s="9" t="str">
        <x:v>Time travel is risky and can create unintended alternate histories. Barry is far less durable than Kryptonian-tier opponents and can be hurt when caught or depowered; his best temporal effects require sustained running.</x:v>
      </x:c>
      <x:c r="N10" s="9" t="str">
        <x:v>Extreme speed/reflexes; phasing; Speed Force time travel; electrokinesis/lightning; accelerated perception; limited self-healing.</x:v>
      </x:c>
      <x:c r="O10" s="9" t="str">
        <x:v>The Flash (2023); Zack Snyder's Justice League (2021); https://www.dc.com/movies/the-flash-2023</x:v>
      </x:c>
    </x:row>
    <x:row r="11">
      <x:c r="A11" s="9" t="str">
        <x:v>Giorno - Gold Experience Requiem</x:v>
      </x:c>
      <x:c r="B11" s="36" t="n">
        <x:v>10</x:v>
      </x:c>
      <x:c r="C11" s="36" t="n">
        <x:f>IFERROR(INDEX(Cards!$A$2:$A$184,MATCH($E11,Cards!$L$2:$L$184,0)),"")</x:f>
        <x:v>10</x:v>
      </x:c>
      <x:c r="D11" s="36" t="str">
        <x:f>IF(C11="","NO PLAYABLE MATCH",IF(C11=B11,"MATCH","REVIEW"))</x:f>
        <x:v>MATCH</x:v>
      </x:c>
      <x:c r="E11" s="36" t="str">
        <x:v>c042</x:v>
      </x:c>
      <x:c r="F11" s="9" t="str">
        <x:v>Giorno - Gold Experience Requiem</x:v>
      </x:c>
      <x:c r="G11" s="9" t="str">
        <x:v>Magic</x:v>
      </x:c>
      <x:c r="H11" s="9" t="str">
        <x:v>JoJo</x:v>
      </x:c>
      <x:c r="I11" s="9" t="str">
        <x:v>Giorno Giovanna with Gold Experience Requiem, anime</x:v>
      </x:c>
      <x:c r="J11" s="9" t="n">
        <x:v>1</x:v>
      </x:c>
      <x:c r="K11" s="9" t="str">
        <x:v>GER autonomously nullifies Diavolo's attempt to reach the result of his actions, overrides King Crimson's erased-time advantage, defeats Diavolo, and traps him in an apparently endless sequence of deaths.</x:v>
      </x:c>
      <x:c r="L11" s="9" t="str">
        <x:v>GER directly counters a causality/time-manipulating Stand in its only full fight. Claims that it automatically defeats every reality-warper or works across unlimited cosmological scales go beyond demonstrated anime evidence.</x:v>
      </x:c>
      <x:c r="M11" s="9" t="str">
        <x:v>Very limited sample size: GER has one decisive confrontation. Exact limits against passive effects, attacks that do not involve an opponent's 'action', or powers operating on much larger scales are not established on screen.</x:v>
      </x:c>
      <x:c r="N11" s="9" t="str">
        <x:v>Return to Zero / causality negation; autonomous defense; life creation/manipulation inherited from Gold Experience; sensory overload; infinite death loop after defeat.</x:v>
      </x:c>
      <x:c r="O11" s="9" t="str">
        <x:v>JoJo's Bizarre Adventure: Golden Wind E38–39; https://jojowiki.com/Gold_Experience_Requiem</x:v>
      </x:c>
    </x:row>
    <x:row r="12">
      <x:c r="A12" s="9" t="str">
        <x:v>Goku</x:v>
      </x:c>
      <x:c r="B12" s="36" t="n">
        <x:v>10</x:v>
      </x:c>
      <x:c r="C12" s="36" t="n">
        <x:f>IFERROR(INDEX(Cards!$A$2:$A$184,MATCH($E12,Cards!$L$2:$L$184,0)),"")</x:f>
        <x:v>10</x:v>
      </x:c>
      <x:c r="D12" s="36" t="str">
        <x:f>IF(C12="","NO PLAYABLE MATCH",IF(C12=B12,"MATCH","REVIEW"))</x:f>
        <x:v>MATCH</x:v>
      </x:c>
      <x:c r="E12" s="36" t="str">
        <x:v>c044</x:v>
      </x:c>
      <x:c r="F12" s="9" t="str">
        <x:v>Goku</x:v>
      </x:c>
      <x:c r="G12" s="9" t="str">
        <x:v>Magic</x:v>
      </x:c>
      <x:c r="H12" s="9" t="str">
        <x:v>Dragon Ball</x:v>
      </x:c>
      <x:c r="I12" s="9" t="str">
        <x:v>Goku, mastered Ultra Instinct, Dragon Ball Super anime Tournament of Power</x:v>
      </x:c>
      <x:c r="J12" s="9" t="n">
        <x:v>1</x:v>
      </x:c>
      <x:c r="K12" s="9" t="str">
        <x:v>Perfected Ultra Instinct lets Goku evade and counter Jiren instinctively, temporarily overwhelm him, and fight at the top level of the Tournament of Power after lower forms failed.</x:v>
      </x:c>
      <x:c r="L12" s="9" t="str">
        <x:v>Directly scales to anime Jiren during the final Tournament of Power fight. Avoid importing manga-only later Ultra Instinct refinements or fan multipliers not stated in the anime.</x:v>
      </x:c>
      <x:c r="M12" s="9" t="str">
        <x:v>The mastered state is extremely short-lived in this appearance and inflicts severe bodily recoil; it collapses before Goku can finish Jiren.</x:v>
      </x:c>
      <x:c r="N12" s="9" t="str">
        <x:v>Autonomous movement/reaction; ki flight and projection; martial arts; ki sensing; energy barriers; extreme physical enhancement.</x:v>
      </x:c>
      <x:c r="O12" s="9" t="str">
        <x:v>Dragon Ball Super E129–130; https://dragonball.fandom.com/wiki/Transcendent_Limit_Breaking!_Autonomous_Ultra_Instinct_Mastered!</x:v>
      </x:c>
    </x:row>
    <x:row r="13">
      <x:c r="A13" s="9" t="str">
        <x:v>Rick Prime</x:v>
      </x:c>
      <x:c r="B13" s="36" t="n">
        <x:v>10</x:v>
      </x:c>
      <x:c r="C13" s="36" t="n">
        <x:f>IFERROR(INDEX(Cards!$A$2:$A$184,MATCH($E13,Cards!$L$2:$L$184,0)),"")</x:f>
        <x:v>10</x:v>
      </x:c>
      <x:c r="D13" s="36" t="str">
        <x:f>IF(C13="","NO PLAYABLE MATCH",IF(C13=B13,"MATCH","REVIEW"))</x:f>
        <x:v>MATCH</x:v>
      </x:c>
      <x:c r="E13" s="36" t="str">
        <x:v>c045</x:v>
      </x:c>
      <x:c r="F13" s="9" t="str">
        <x:v>Rick Prime</x:v>
      </x:c>
      <x:c r="G13" s="9" t="str">
        <x:v>Tech</x:v>
      </x:c>
      <x:c r="H13" s="9" t="str">
        <x:v>Rick and Morty</x:v>
      </x:c>
      <x:c r="I13" s="9" t="str">
        <x:v>Rick Prime, Rick and Morty TV canon through S7E5</x:v>
      </x:c>
      <x:c r="J13" s="9" t="n">
        <x:v>1</x:v>
      </x:c>
      <x:c r="K13" s="9" t="str">
        <x:v>Built the Omega Device that erased Diane across realities; survives/fights Rick C-137 and Evil Morty using advanced cybernetics, forcefields, traps, decoys and weapons; maintains highly sophisticated multiversal technology.</x:v>
      </x:c>
      <x:c r="L13" s="9" t="str">
        <x:v>Engineering feats place him among the setting's most dangerous Ricks. The Omega Device is established infrastructure that Rick Prime owns, controls and has at his disposal through his prepared setup; it is not equivalent to an instant handheld attack in every encounter.</x:v>
      </x:c>
      <x:c r="M13" s="9" t="str">
        <x:v>The Omega Device is available to Rick Prime through dedicated machinery/setup, but he must retain access to and activate that infrastructure rather than simply firing it from his hand. Rick Prime can still be physically overwhelmed once his personal defenses and contingencies are bypassed.</x:v>
      </x:c>
      <x:c r="N13" s="9" t="str">
        <x:v>Portal/multiversal technology; cybernetic augmentation; forcefields; energy weapons; clones/decoys; traps; automated defenses; Omega Device reality-targeting infrastructure under his control and at his disposal.</x:v>
      </x:c>
      <x:c r="O13" s="9" t="str">
        <x:v>Rick and Morty S6E1 'Solaricks'; S7E5 'Unmortricken'; https://rickandmorty.fandom.com/wiki/Rick_Prime</x:v>
      </x:c>
    </x:row>
    <x:row r="14">
      <x:c r="A14" s="9" t="str">
        <x:v>Saitama</x:v>
      </x:c>
      <x:c r="B14" s="36" t="n">
        <x:v>10</x:v>
      </x:c>
      <x:c r="C14" s="36" t="n">
        <x:f>IFERROR(INDEX(Cards!$A$2:$A$184,MATCH($E14,Cards!$L$2:$L$184,0)),"")</x:f>
        <x:v>10</x:v>
      </x:c>
      <x:c r="D14" s="36" t="str">
        <x:f>IF(C14="","NO PLAYABLE MATCH",IF(C14=B14,"MATCH","REVIEW"))</x:f>
        <x:v>MATCH</x:v>
      </x:c>
      <x:c r="E14" s="36" t="str">
        <x:v>c025</x:v>
      </x:c>
      <x:c r="F14" s="9" t="str">
        <x:v>Saitama</x:v>
      </x:c>
      <x:c r="G14" s="9" t="str">
        <x:v>Nature</x:v>
      </x:c>
      <x:c r="H14" s="9" t="str">
        <x:v>OPM</x:v>
      </x:c>
      <x:c r="I14" s="9" t="str">
        <x:v>Saitama, One-Punch Man anime canon through Season 3</x:v>
      </x:c>
      <x:c r="J14" s="9" t="n">
        <x:v>1</x:v>
      </x:c>
      <x:c r="K14" s="9" t="str">
        <x:v>Jumps from the Moon back to Earth, survives Boros's moon kick without injury, overwhelms Boros with normal/consecutive punches, and neutralizes Collapsing Star Roaring Cannon with a Serious Punch whose shockwave parts the atmosphere/cloud cover on a vast scale.</x:v>
      </x:c>
      <x:c r="L14" s="9" t="str">
        <x:v>Anime Saitama comfortably exceeds anime Boros. Source-material peek: the manga's Cosmic Garou fight (especially Ch. 167–168) reveals a vastly higher ceiling: Saitama continues growing stronger during the fight, battles on Io, and a Serious Sneeze strips away a huge portion of Jupiter's gaseous layers. This is used to understand Saitama's intended power bracket, not as an animated feat.</x:v>
      </x:c>
      <x:c r="M14" s="9" t="str">
        <x:v>No meaningful combat weakness has been demonstrated in the anime. His casual attitude can delay action, but is characterization rather than a physical limitation.</x:v>
      </x:c>
      <x:c r="N14" s="9" t="str">
        <x:v>Extreme strength, speed, durability and jumping; shockwave attacks; extraordinary resistance to heat/pressure/impact. No demonstrated reality-warping or formal hax in the anime.</x:v>
      </x:c>
      <x:c r="O14" s="9" t="str">
        <x:v>One-Punch Man S1E12 'The Strongest Hero'; official anime https://onepunchman-anime.net/ ; source-material peek: manga Ch. 167–168, https://onepunchman.fandom.com/wiki/Chapter_168_(Online)</x:v>
      </x:c>
    </x:row>
    <x:row r="15">
      <x:c r="A15" s="9" t="str">
        <x:v>Thanos</x:v>
      </x:c>
      <x:c r="B15" s="36" t="n">
        <x:v>10</x:v>
      </x:c>
      <x:c r="C15" s="36" t="n">
        <x:f>IFERROR(INDEX(Cards!$A$2:$A$184,MATCH($E15,Cards!$L$2:$L$184,0)),"")</x:f>
        <x:v>10</x:v>
      </x:c>
      <x:c r="D15" s="36" t="str">
        <x:f>IF(C15="","NO PLAYABLE MATCH",IF(C15=B15,"MATCH","REVIEW"))</x:f>
        <x:v>MATCH</x:v>
      </x:c>
      <x:c r="E15" s="36" t="str">
        <x:v>c027</x:v>
      </x:c>
      <x:c r="F15" s="9" t="str">
        <x:v>Thanos</x:v>
      </x:c>
      <x:c r="G15" s="9" t="str">
        <x:v>Magic</x:v>
      </x:c>
      <x:c r="H15" s="9" t="str">
        <x:v>MCU</x:v>
      </x:c>
      <x:c r="I15" s="9" t="str">
        <x:v>Thanos, MCU Infinity War with completed Infinity Gauntlet</x:v>
      </x:c>
      <x:c r="J15" s="9" t="n">
        <x:v>1</x:v>
      </x:c>
      <x:c r="K15" s="9" t="str">
        <x:v>Overpowers major Avengers/Guardians, uses individual Stones for space, reality, power and time effects, completes the Gauntlet, survives Thor's Stormbreaker strike long enough to Snap, and erases half of all life in the universe.</x:v>
      </x:c>
      <x:c r="L15" s="9" t="str">
        <x:v>The Snap is a demonstrated universe-wide effect of all six Stones, not Thanos's unaided physical output. Physically he scales above Hulk and most MCU heavy hitters even without using the full Gauntlet.</x:v>
      </x:c>
      <x:c r="M15" s="9" t="str">
        <x:v>Full-Gauntlet use damages the wielder; the Snap severely burns Thanos's arm. Many Stone effects are channeled through hand/gauntlet gestures and can be interrupted before activation. Stones are treated as his defining prime equipment here.</x:v>
      </x:c>
      <x:c r="N15" s="9" t="str">
        <x:v>Infinity Stone control: reality alteration, space manipulation, time reversal, energy projection, matter transmutation, soul/mind-related effects; immense natural strength/durability.</x:v>
      </x:c>
      <x:c r="O15" s="9" t="str">
        <x:v>Avengers: Infinity War (2018); Avengers: Endgame (2019); https://www.marvel.com/movies/avengers-infinity-war</x:v>
      </x:c>
    </x:row>
    <x:row r="16">
      <x:c r="A16" s="9" t="str">
        <x:v>The Watcher</x:v>
      </x:c>
      <x:c r="B16" s="36" t="n">
        <x:v>10</x:v>
      </x:c>
      <x:c r="C16" s="36" t="n">
        <x:f>IFERROR(INDEX(Cards!$A$2:$A$184,MATCH($E16,Cards!$L$2:$L$184,0)),"")</x:f>
        <x:v>10</x:v>
      </x:c>
      <x:c r="D16" s="36" t="str">
        <x:f>IF(C16="","NO PLAYABLE MATCH",IF(C16=B16,"MATCH","REVIEW"))</x:f>
        <x:v>MATCH</x:v>
      </x:c>
      <x:c r="E16" s="36" t="str">
        <x:v>c046</x:v>
      </x:c>
      <x:c r="F16" s="9" t="str">
        <x:v>The Watcher</x:v>
      </x:c>
      <x:c r="G16" s="9" t="str">
        <x:v>Magic</x:v>
      </x:c>
      <x:c r="H16" s="9" t="str">
        <x:v>MCU</x:v>
      </x:c>
      <x:c r="I16" s="9" t="str">
        <x:v>Uatu / The Watcher, Marvel Studios What If...? screen canon</x:v>
      </x:c>
      <x:c r="J16" s="9" t="n">
        <x:v>1</x:v>
      </x:c>
      <x:c r="K16" s="9" t="str">
        <x:v>Fights six-Stone Infinity Ultron across multiple realities, survives repeated high-end energy/physical attacks and reality transitions, breaks his noninterference stance, and later coordinates multiversal champions against Ultron.</x:v>
      </x:c>
      <x:c r="L16" s="9" t="str">
        <x:v>His direct exchange with Infinity Ultron gives unusually strong multiversal durability/mobility evidence, but Ultron's Stone use outside his native universe follows What If...? rules and should not be generalized to every MCU Stone depiction.</x:v>
      </x:c>
      <x:c r="M16" s="9" t="str">
        <x:v>Normally constrained by his oath of noninterference, though he can break it. Infinity Ultron eventually forces him to retreat in their solo fight.</x:v>
      </x:c>
      <x:c r="N16" s="9" t="str">
        <x:v>Cosmic perception; multiversal travel; flight; immense strength/durability; energy projection; dimensional barriers/portals; observation across realities.</x:v>
      </x:c>
      <x:c r="O16" s="9" t="str">
        <x:v>What If...? S1E8 'What If... Ultron Won?' and S1E9; https://press.disneyplus.com/disney-plus/what-if/ultron-won</x:v>
      </x:c>
    </x:row>
    <x:row r="17">
      <x:c r="A17" s="9" t="str">
        <x:v>Ainz Ooal Gown</x:v>
      </x:c>
      <x:c r="B17" s="36" t="n">
        <x:v>9</x:v>
      </x:c>
      <x:c r="C17" s="36" t="n">
        <x:f>IFERROR(INDEX(Cards!$A$2:$A$184,MATCH($E17,Cards!$L$2:$L$184,0)),"")</x:f>
        <x:v>9</x:v>
      </x:c>
      <x:c r="D17" s="36" t="str">
        <x:f>IF(C17="","NO PLAYABLE MATCH",IF(C17=B17,"MATCH","REVIEW"))</x:f>
        <x:v>MATCH</x:v>
      </x:c>
      <x:c r="E17" s="36" t="str">
        <x:v>c023</x:v>
      </x:c>
      <x:c r="F17" s="9" t="str">
        <x:v>Ainz Ooal Gown</x:v>
      </x:c>
      <x:c r="G17" s="9" t="str">
        <x:v>Magic</x:v>
      </x:c>
      <x:c r="H17" s="9" t="str">
        <x:v>Overlord</x:v>
      </x:c>
      <x:c r="I17" s="9" t="str">
        <x:v>Ainz Ooal Gown, Overlord anime through Season 4; Staff of Ainz Ooal Gown + default World Item access</x:v>
      </x:c>
      <x:c r="J17" s="9" t="n">
        <x:v>1</x:v>
      </x:c>
      <x:c r="K17" s="9" t="str">
        <x:v>Instantly kills roughly 70,000 soldiers with the super-tier spell Iä Shub-Niggurath and summons Dark Young; defeats Shalltear through spell selection/preparation; uses time stop, instant-death magic and The Goal of All Life Is Death. Default loadout additionally includes the guild Staff of Ainz Ooal Gown and unspecified World Items per project ruling.</x:v>
      </x:c>
      <x:c r="L17" s="9" t="str">
        <x:v>Consistently scales at/near the top of Nazarick's level-100 beings. The Staff materially amplifies his magic and has autonomous high-level functions. World Items are included as carried high-tier artifacts, but because the exact items are unspecified, no invented individual World-Item ability is assigned.</x:v>
      </x:c>
      <x:c r="M17" s="9" t="str">
        <x:v>Finite MP, casting/cooldown restrictions and consumables still matter. The Goal of All Life Is Death has an activation delay and long cooldown. Exact World Items in the default loadout are unspecified, so their specific one-off effects cannot be assumed beyond legitimate World-Item-level protection/utility.</x:v>
      </x:c>
      <x:c r="N17" s="9" t="str">
        <x:v>Instant death; time stop; teleportation; summons; necromancy; spatial attacks; super-tier magic; buffs/debuffs; information/anti-divination magic; resurrection resources; Staff of Ainz Ooal Gown amplification/autonomous functions; unspecified World Item protection/utility.</x:v>
      </x:c>
      <x:c r="O17" s="9" t="str">
        <x:v>Overlord anime S1E4, S1E13, S3E12–13, S4; https://overlordmaruyama.fandom.com/wiki/Ainz_Ooal_Gown ; https://overlordmaruyama.fandom.com/wiki/Staff_of_Ainz_Ooal_Gown ; project loadout ruling</x:v>
      </x:c>
    </x:row>
    <x:row r="18">
      <x:c r="A18" s="9" t="str">
        <x:v>Aizen</x:v>
      </x:c>
      <x:c r="B18" s="36" t="n">
        <x:v>9</x:v>
      </x:c>
      <x:c r="C18" s="36" t="n">
        <x:f>IFERROR(INDEX(Cards!$A$2:$A$184,MATCH($E18,Cards!$L$2:$L$184,0)),"")</x:f>
        <x:v>9</x:v>
      </x:c>
      <x:c r="D18" s="36" t="str">
        <x:f>IF(C18="","NO PLAYABLE MATCH",IF(C18=B18,"MATCH","REVIEW"))</x:f>
        <x:v>MATCH</x:v>
      </x:c>
      <x:c r="E18" s="36" t="str">
        <x:v>c050</x:v>
      </x:c>
      <x:c r="F18" s="9" t="str">
        <x:v>Aizen</x:v>
      </x:c>
      <x:c r="G18" s="9" t="str">
        <x:v>Magic</x:v>
      </x:c>
      <x:c r="H18" s="9" t="str">
        <x:v>Bleach</x:v>
      </x:c>
      <x:c r="I18" s="9" t="str">
        <x:v>Sosuke Aizen, Bleach TYBW anime through 2026-09-05 broadcast</x:v>
      </x:c>
      <x:c r="J18" s="9" t="n">
        <x:v>1</x:v>
      </x:c>
      <x:c r="K18" s="9" t="str">
        <x:v>After Hogyoku fusion survives otherwise fatal destruction and evolves; overwhelms high-tier Soul Reapers; Kyoka Suigetsu creates complete sensory hypnosis; in TYBW his reiatsu and Kido remain dangerous even while heavily restrained.</x:v>
      </x:c>
      <x:c r="L18" s="9" t="str">
        <x:v>Scales far above captain-class Shinigami and remains relevant to TYBW's highest-tier threats. Source-material peek: Bleach Ch. 683–684 has Aizen directly engage Soul-King-empowered Yhwach, use Hadō #99, and successfully place Yhwach under Kyōka Suigetsu deeply enough to falsify the identities/sequence of attackers and create the opening for Ichigo's strike. This strongly supports top-tier hypnosis/perception hax even against future-seeing opponents, without making Aizen equal to Yhwach's raw power.</x:v>
      </x:c>
      <x:c r="M18" s="9" t="str">
        <x:v>Kyoka Suigetsu traditionally requires a target to have seen its release. Aizen can be sealed/restrained despite his regeneration/immortality. Current TYBW anime cutoff means later manga demonstrations are intentionally omitted.</x:v>
      </x:c>
      <x:c r="N18" s="9" t="str">
        <x:v>Complete hypnosis; Hogyoku regeneration/evolution/immortality; high-level Kido; reiatsu pressure; flight/flash step; exceptional intellect and perception.</x:v>
      </x:c>
      <x:c r="O18" s="9" t="str">
        <x:v>Bleach anime E293–310; BLEACH: Thousand-Year Blood War through current 2026 broadcast; https://bleach-anime.com/ ; source-material peek: Bleach Ch. 683–684 / Vol. 74, https://bleach.fandom.com/wiki/THE_DEATH_AND_THE_STRAWBERRY_(Volume_74)</x:v>
      </x:c>
    </x:row>
    <x:row r="19">
      <x:c r="A19" s="9" t="str">
        <x:v>Antimatter Bomb</x:v>
      </x:c>
      <x:c r="B19" s="36" t="n">
        <x:v>9</x:v>
      </x:c>
      <x:c r="C19" s="36" t="n">
        <x:f>IFERROR(INDEX(Cards!$A$2:$A$184,MATCH($E19,Cards!$L$2:$L$184,0)),"")</x:f>
        <x:v>9</x:v>
      </x:c>
      <x:c r="D19" s="36" t="str">
        <x:f>IF(C19="","NO PLAYABLE MATCH",IF(C19=B19,"MATCH","REVIEW"))</x:f>
        <x:v>MATCH</x:v>
      </x:c>
      <x:c r="E19" s="36" t="str">
        <x:v>c186</x:v>
      </x:c>
      <x:c r="F19" s="9" t="str">
        <x:v>Antimatter Bomb</x:v>
      </x:c>
      <x:c r="G19" s="9" t="str">
        <x:v>Tech</x:v>
      </x:c>
      <x:c r="H19" s="9" t="str">
        <x:v>Basic</x:v>
      </x:c>
      <x:c r="I19" s="9" t="str">
        <x:v>House benchmark: hypothetical planetary-scale antimatter warhead</x:v>
      </x:c>
      <x:c r="J19" s="9" t="n">
        <x:v>1</x:v>
      </x:c>
      <x:c r="K19" s="9" t="str">
        <x:v>A deliberately futuristic civilization-scale weapon using matter-antimatter annihilation as its energy source. This benchmark assumes a strategically enormous, safely contained antimatter reserve that can be released as a single weapon, producing planetary-scale devastation vastly beyond conventional or nuclear arsenals and beyond a Chicxulub-class impact in intended threat level.</x:v>
      </x:c>
      <x:c r="L19" s="9" t="str">
        <x:v>Cost 9 Basic benchmark: represents engineered planetary devastation rather than a real-world buildable device. It is intentionally placed above the Cost 8 Chicxulub-class extinction benchmark but far below the astrophysical scale of the Cost 10 stellar-mass black hole. No specific antimatter quantity, containment design, or construction method is assumed.</x:v>
      </x:c>
      <x:c r="M19" s="9" t="str">
        <x:v>null</x:v>
      </x:c>
      <x:c r="N19" s="9" t="str">
        <x:v>null</x:v>
      </x:c>
      <x:c r="O19" s="9" t="str">
        <x:v>null</x:v>
      </x:c>
    </x:row>
    <x:row r="20">
      <x:c r="A20" s="9" t="str">
        <x:v>Boros</x:v>
      </x:c>
      <x:c r="B20" s="36" t="n">
        <x:v>9</x:v>
      </x:c>
      <x:c r="C20" s="36" t="n">
        <x:f>IFERROR(INDEX(Cards!$A$2:$A$184,MATCH($E20,Cards!$L$2:$L$184,0)),"")</x:f>
        <x:v>9</x:v>
      </x:c>
      <x:c r="D20" s="36" t="str">
        <x:f>IF(C20="","NO PLAYABLE MATCH",IF(C20=B20,"MATCH","REVIEW"))</x:f>
        <x:v>MATCH</x:v>
      </x:c>
      <x:c r="E20" s="36" t="str">
        <x:v>c051</x:v>
      </x:c>
      <x:c r="F20" s="9" t="str">
        <x:v>Boros</x:v>
      </x:c>
      <x:c r="G20" s="9" t="str">
        <x:v>Nature</x:v>
      </x:c>
      <x:c r="H20" s="9" t="str">
        <x:v>OPM</x:v>
      </x:c>
      <x:c r="I20" s="9" t="str">
        <x:v>Boros, One-Punch Man anime S1</x:v>
      </x:c>
      <x:c r="J20" s="9" t="n">
        <x:v>1</x:v>
      </x:c>
      <x:c r="K20" s="9" t="str">
        <x:v>Meteoric Burst sends Saitama to the Moon; regenerates after being reduced to fragments; survives multiple normal punches; fires Collapsing Star Roaring Cannon as his all-in final attack before Saitama's Serious Punch overpowers it.</x:v>
      </x:c>
      <x:c r="L20" s="9" t="str">
        <x:v>Clearly one of the strongest anime OPM antagonists and far above his own generals. The anime/subtitle wording commonly presents Collapsing Star Roaring Cannon as planet-destroying, but that is a stated endpoint rather than a completed feat.</x:v>
      </x:c>
      <x:c r="M20" s="9" t="str">
        <x:v>Meteoric Burst strains/shortens his life and consumes enormous energy. Collapsing Star Roaring Cannon expends essentially all remaining energy. Regeneration ultimately fails after overwhelming damage/energy exhaustion.</x:v>
      </x:c>
      <x:c r="N20" s="9" t="str">
        <x:v>Extreme regeneration; energy projection; flight; Meteoric Burst physical amplification; massive final energy cannon.</x:v>
      </x:c>
      <x:c r="O20" s="9" t="str">
        <x:v>One-Punch Man S1E12 'The Strongest Hero'; https://onepunchman.fandom.com/wiki/Boros</x:v>
      </x:c>
    </x:row>
    <x:row r="21">
      <x:c r="A21" s="9" t="str">
        <x:v>Death Star</x:v>
      </x:c>
      <x:c r="B21" s="36" t="n">
        <x:v>9</x:v>
      </x:c>
      <x:c r="C21" s="36" t="n">
        <x:f>IFERROR(INDEX(Cards!$A$2:$A$184,MATCH($E21,Cards!$L$2:$L$184,0)),"")</x:f>
        <x:v>9</x:v>
      </x:c>
      <x:c r="D21" s="36" t="str">
        <x:f>IF(C21="","NO PLAYABLE MATCH",IF(C21=B21,"MATCH","REVIEW"))</x:f>
        <x:v>MATCH</x:v>
      </x:c>
      <x:c r="E21" s="36" t="str">
        <x:v>c055</x:v>
      </x:c>
      <x:c r="F21" s="9" t="str">
        <x:v>Death Star</x:v>
      </x:c>
      <x:c r="G21" s="9" t="str">
        <x:v>Tech</x:v>
      </x:c>
      <x:c r="H21" s="9" t="str">
        <x:v>Star Wars</x:v>
      </x:c>
      <x:c r="I21" s="9" t="str">
        <x:v>Death Star I, Star Wars screen canon</x:v>
      </x:c>
      <x:c r="J21" s="9" t="n">
        <x:v>1</x:v>
      </x:c>
      <x:c r="K21" s="9" t="str">
        <x:v>Destroys Alderaan with its superlaser; destroys large capital-scale targets and cities at lower settings; carries enormous conventional weaponry, fighters and troops.</x:v>
      </x:c>
      <x:c r="L21" s="9" t="str">
        <x:v>Planet destruction is a direct screen feat, but the superlaser is a weapon-system feat with charge/aim requirements, not the station's passive durability. Smaller craft exploit structural vulnerabilities.</x:v>
      </x:c>
      <x:c r="M21" s="9" t="str">
        <x:v>Large, slow and dependent on crews/systems. Its first model has the thermal-exhaust-port weakness that allows a chain reaction when struck precisely. Superlaser targeting/charging is not instantaneous.</x:v>
      </x:c>
      <x:c r="N21" s="9" t="str">
        <x:v>Planet-killing superlaser; turbolasers; tractor beams; shields/armor; fighter complement and station-scale sensors.</x:v>
      </x:c>
      <x:c r="O21" s="9" t="str">
        <x:v>Star Wars: A New Hope (1977); Rogue One (2016); https://www.starwars.com/databank/death-star</x:v>
      </x:c>
    </x:row>
    <x:row r="22">
      <x:c r="A22" s="9" t="str">
        <x:v>Doomsday</x:v>
      </x:c>
      <x:c r="B22" s="36" t="n">
        <x:v>9</x:v>
      </x:c>
      <x:c r="C22" s="36" t="n">
        <x:f>IFERROR(INDEX(Cards!$A$2:$A$184,MATCH($E22,Cards!$L$2:$L$184,0)),"")</x:f>
        <x:v>9</x:v>
      </x:c>
      <x:c r="D22" s="36" t="str">
        <x:f>IF(C22="","NO PLAYABLE MATCH",IF(C22=B22,"MATCH","REVIEW"))</x:f>
        <x:v>MATCH</x:v>
      </x:c>
      <x:c r="E22" s="36" t="str">
        <x:v>c056</x:v>
      </x:c>
      <x:c r="F22" s="9" t="str">
        <x:v>Doomsday</x:v>
      </x:c>
      <x:c r="G22" s="9" t="str">
        <x:v>Nature</x:v>
      </x:c>
      <x:c r="H22" s="9" t="str">
        <x:v>DCU</x:v>
      </x:c>
      <x:c r="I22" s="9" t="str">
        <x:v>Doomsday, DCEU Batman v Superman incarnation</x:v>
      </x:c>
      <x:c r="J22" s="9" t="n">
        <x:v>1</x:v>
      </x:c>
      <x:c r="K22" s="9" t="str">
        <x:v>Survives re-entry/impact and a nuclear strike, rapidly regenerates and grows stronger after damage, emits expanding energy bursts, battles Superman/Wonder Woman, and mortally wounds Superman before being killed.</x:v>
      </x:c>
      <x:c r="L22" s="9" t="str">
        <x:v>Directly scales to DCEU Superman and Wonder Woman in close combat. The nuke survival is strong but he is temporarily reduced to a charred body before regenerating, so it is not no-sell durability.</x:v>
      </x:c>
      <x:c r="M22" s="9" t="str">
        <x:v>Kryptonite can pierce/kill him and suppresses Kryptonian-derived durability. Reactive evolution requires surviving the initial damage; sufficient kryptonite damage bypasses that advantage.</x:v>
      </x:c>
      <x:c r="N22" s="9" t="str">
        <x:v>Reactive evolution/adaptation; regeneration; energy absorption/release; extreme Kryptonian strength/durability/speed; bone growth/weapons.</x:v>
      </x:c>
      <x:c r="O22" s="9" t="str">
        <x:v>Batman v Superman: Dawn of Justice (2016); https://www.dc.com/movies/batman-v-superman-dawn-of-justice</x:v>
      </x:c>
    </x:row>
    <x:row r="23">
      <x:c r="A23" s="9" t="str">
        <x:v>Dormammu</x:v>
      </x:c>
      <x:c r="B23" s="36" t="n">
        <x:v>9</x:v>
      </x:c>
      <x:c r="C23" s="36" t="n">
        <x:f>IFERROR(INDEX(Cards!$A$2:$A$184,MATCH($E23,Cards!$L$2:$L$184,0)),"")</x:f>
        <x:v>9</x:v>
      </x:c>
      <x:c r="D23" s="36" t="str">
        <x:f>IF(C23="","NO PLAYABLE MATCH",IF(C23=B23,"MATCH","REVIEW"))</x:f>
        <x:v>MATCH</x:v>
      </x:c>
      <x:c r="E23" s="36" t="str">
        <x:v>c052</x:v>
      </x:c>
      <x:c r="F23" s="9" t="str">
        <x:v>Dormammu</x:v>
      </x:c>
      <x:c r="G23" s="9" t="str">
        <x:v>Magic</x:v>
      </x:c>
      <x:c r="H23" s="9" t="str">
        <x:v>MCU</x:v>
      </x:c>
      <x:c r="I23" s="9" t="str">
        <x:v>Dormammu, MCU Doctor Strange (Dark Dimension entity)</x:v>
      </x:c>
      <x:c r="J23" s="9" t="n">
        <x:v>1</x:v>
      </x:c>
      <x:c r="K23" s="9" t="str">
        <x:v>Repeatedly kills Doctor Strange with trivial ease inside the Dark Dimension; exists outside Earth's normal time framework; can absorb/annex dimensions and grants followers power; cannot escape Strange's imposed Time Stone loop without bargaining.</x:v>
      </x:c>
      <x:c r="L23" s="9" t="str">
        <x:v>Far above MCU Strange in direct raw power in his own realm. Claims of universal/multiversal combat output should be separated from the demonstrated ability to absorb dimensions over time.</x:v>
      </x:c>
      <x:c r="M23" s="9" t="str">
        <x:v>The Time Stone's loop can trap him because time is foreign to the Dark Dimension. His strongest demonstrated control is in his own realm; Earth-annexation normally relied on cult action, although world-entry restrictions are ignored by the ranking rule.</x:v>
      </x:c>
      <x:c r="N23" s="9" t="str">
        <x:v>Dimensional absorption/control; reality/matter manipulation; energy projection; immense size; immortality/timeless existence; empowerment of servants.</x:v>
      </x:c>
      <x:c r="O23" s="9" t="str">
        <x:v>Doctor Strange (2016); https://www.marvel.com/characters/doctor-strange-stephen-strange/on-screen</x:v>
      </x:c>
    </x:row>
    <x:row r="24">
      <x:c r="A24" s="9" t="str">
        <x:v>Gojo</x:v>
      </x:c>
      <x:c r="B24" s="36" t="n">
        <x:v>9</x:v>
      </x:c>
      <x:c r="C24" s="36" t="n">
        <x:f>IFERROR(INDEX(Cards!$A$2:$A$184,MATCH($E24,Cards!$L$2:$L$184,0)),"")</x:f>
        <x:v>9</x:v>
      </x:c>
      <x:c r="D24" s="36" t="str">
        <x:f>IF(C24="","NO PLAYABLE MATCH",IF(C24=B24,"MATCH","REVIEW"))</x:f>
        <x:v>MATCH</x:v>
      </x:c>
      <x:c r="E24" s="36" t="str">
        <x:v>c022</x:v>
      </x:c>
      <x:c r="F24" s="9" t="str">
        <x:v>Gojo</x:v>
      </x:c>
      <x:c r="G24" s="9" t="str">
        <x:v>Magic</x:v>
      </x:c>
      <x:c r="H24" s="9" t="str">
        <x:v>Jujutsu Kaisen</x:v>
      </x:c>
      <x:c r="I24" s="9" t="str">
        <x:v>Satoru Gojo, Jujutsu Kaisen anime through current screen material</x:v>
      </x:c>
      <x:c r="J24" s="9" t="n">
        <x:v>1</x:v>
      </x:c>
      <x:c r="K24" s="9" t="str">
        <x:v>Infinity automatically prevents ordinary contact; defeats Jogo/Hanami-level curses with overwhelming speed and technique; in Shibuya opens Unlimited Void for 0.2 seconds and then kills roughly 1,000 transfigured humans in 299 seconds.</x:v>
      </x:c>
      <x:c r="L24" s="9" t="str">
        <x:v>Anime evidence establishes Gojo as the dominant modern sorcerer. Source-material peek: the Shinjuku fight with Sukuna (Ch. 223–236) shows repeated domain clashes, surviving Malevolent Shrine through Reverse Cursed Technique/Simple Domain adaptation, multiple Black Flashes, regeneration of a severed arm, and a self-generated remote Hollow Purple in Ch. 235. The opening 200% Purple is not used as his own baseline because Utahime externally amplified it.</x:v>
      </x:c>
      <x:c r="M24" s="9" t="str">
        <x:v>Infinity can be bypassed by technique nullification, Domain Amplification or sufficiently compatible domains. Domain use and Reverse Cursed Technique consume resources even with Six Eyes efficiency; sealing is possible through special conditions.</x:v>
      </x:c>
      <x:c r="N24" s="9" t="str">
        <x:v>Limitless/Infinity; Blue attraction; Red repulsion; Hollow Purple; Unlimited Void; Six Eyes; Reverse Cursed Technique; teleportation-like high-speed movement; barrier/domain techniques.</x:v>
      </x:c>
      <x:c r="O24" s="9" t="str">
        <x:v>Jujutsu Kaisen S2, especially E28, E33–34; official episodes https://jujutsukaisen.jp/episodes/ ; source-material peek: manga Ch. 223–236, https://jujutsu-kaisen.fandom.com/wiki/Satoru_Gojo_vs._Sukuna ; Ch. 235 https://jujutsu-kaisen.fandom.com/wiki/Chapter_235</x:v>
      </x:c>
    </x:row>
    <x:row r="25">
      <x:c r="A25" s="9" t="str">
        <x:v>Mob Psycho</x:v>
      </x:c>
      <x:c r="B25" s="36" t="n">
        <x:v>9</x:v>
      </x:c>
      <x:c r="C25" s="36" t="n">
        <x:f>IFERROR(INDEX(Cards!$A$2:$A$184,MATCH($E25,Cards!$L$2:$L$184,0)),"")</x:f>
        <x:v>9</x:v>
      </x:c>
      <x:c r="D25" s="36" t="str">
        <x:f>IF(C25="","NO PLAYABLE MATCH",IF(C25=B25,"MATCH","REVIEW"))</x:f>
        <x:v>MATCH</x:v>
      </x:c>
      <x:c r="E25" s="36" t="str">
        <x:v>c053</x:v>
      </x:c>
      <x:c r="F25" s="9" t="str">
        <x:v>Mob Psycho</x:v>
      </x:c>
      <x:c r="G25" s="9" t="str">
        <x:v>Magic</x:v>
      </x:c>
      <x:c r="H25" s="9" t="str">
        <x:v>Mob Psycho</x:v>
      </x:c>
      <x:c r="I25" s="9" t="str">
        <x:v>Shigeo 'Mob' Kageyama, end-of-series anime; includes involuntary ???% state</x:v>
      </x:c>
      <x:c r="J25" s="9" t="n">
        <x:v>1</x:v>
      </x:c>
      <x:c r="K25" s="9" t="str">
        <x:v>At 100% and ???% he creates/withstands enormous psychic phenomena, battles Toichiro Suzuki, contains/redirects immense psychic energy, and in the final arc his unconscious ???% state tears through the city and overcomes multiple powerful psychics.</x:v>
      </x:c>
      <x:c r="L25" s="9" t="str">
        <x:v>???% is Mob's highest demonstrated state but is not a consciously selected transformation; it is treated as an innate emergency state rather than a separate external amp.</x:v>
      </x:c>
      <x:c r="M25" s="9" t="str">
        <x:v>Emotional state controls output. ???% is involuntary and Mob lacks normal conscious judgment while it is active. Powerful psychic output can exhaust or destabilize him, and he often self-restrains to avoid harm.</x:v>
      </x:c>
      <x:c r="N25" s="9" t="str">
        <x:v>Telekinesis; barriers; flight; spirit exorcism; psychic energy absorption/transfer; astral interaction; energy projection; broad extrasensory perception.</x:v>
      </x:c>
      <x:c r="O25" s="9" t="str">
        <x:v>Mob Psycho 100 II E13; Mob Psycho 100 III E10–12; https://mob-psycho-100.fandom.com/wiki/Shigeo_Kageyama</x:v>
      </x:c>
    </x:row>
    <x:row r="26">
      <x:c r="A26" s="9" t="str">
        <x:v>Rimuru Tempest</x:v>
      </x:c>
      <x:c r="B26" s="36" t="n">
        <x:v>9</x:v>
      </x:c>
      <x:c r="C26" s="36" t="n">
        <x:f>IFERROR(INDEX(Cards!$A$2:$A$184,MATCH($E26,Cards!$L$2:$L$184,0)),"")</x:f>
        <x:v>9</x:v>
      </x:c>
      <x:c r="D26" s="36" t="str">
        <x:f>IF(C26="","NO PLAYABLE MATCH",IF(C26=B26,"MATCH","REVIEW"))</x:f>
        <x:v>MATCH</x:v>
      </x:c>
      <x:c r="E26" s="36" t="str">
        <x:v>c049</x:v>
      </x:c>
      <x:c r="F26" s="9" t="str">
        <x:v>Rimuru Tempest</x:v>
      </x:c>
      <x:c r="G26" s="9" t="str">
        <x:v>Magic</x:v>
      </x:c>
      <x:c r="H26" s="9" t="str">
        <x:v>Tensura</x:v>
      </x:c>
      <x:c r="I26" s="9" t="str">
        <x:v>Rimuru Tempest, anime True Demon Lord era (through latest completed TV season)</x:v>
      </x:c>
      <x:c r="J26" s="9" t="n">
        <x:v>1</x:v>
      </x:c>
      <x:c r="K26" s="9" t="str">
        <x:v>Uses Megiddo to slaughter the Falmuth army, awakens as a True Demon Lord, resurrects fallen Tempest citizens through the Harvest Festival process, and gains Raphael and Beelzebuth for high-level analysis/consumption.</x:v>
      </x:c>
      <x:c r="L26" s="9" t="str">
        <x:v>Anime Rimuru massively exceeds his pre-awakening self and most regional threats. Source-material peek: light novels Vol. 15–16 reveal that his future progression becomes qualitatively larger, evolving into an Ultimate Slime/True-Dragon-class existence with Ciel and the Ultimate Skill Azathoth, including Soul Consumption, Nihility Collapse, Imaginary Space, Space-Time Domination and Multidimensional Barrier. This establishes an enormous future ceiling but is not treated as current-anime power.</x:v>
      </x:c>
      <x:c r="M26" s="9" t="str">
        <x:v>Skills still require energy/processing and can face resistances or stronger authorities. The ranking does not assume unanimated light-novel upgrades.</x:v>
      </x:c>
      <x:c r="N26" s="9" t="str">
        <x:v>Raphael analysis/optimization; Beelzebuth predation/absorption; regeneration; barriers; magic; cloning; shapeshifting; spatial skills; resistances; skill acquisition.</x:v>
      </x:c>
      <x:c r="O26" s="9" t="str">
        <x:v>That Time I Got Reincarnated as a Slime S2–S3; https://www.ten-sura.com/anime/tensura ; source-material peek: light novels Vol. 15–16; Yen Press Vol. 16 https://yenpress.com/titles/9781975369767-that-time-i-got-reincarnated-as-a-slime-vol-16-light-novel ; ability summary https://that-time-i-got-reincarnated-as-a-slime.fandom.com/wiki/Rimuru_Tempest/Abilities_and_Gear</x:v>
      </x:c>
    </x:row>
    <x:row r="27">
      <x:c r="A27" s="9" t="str">
        <x:v>Ten Tails</x:v>
      </x:c>
      <x:c r="B27" s="36" t="n">
        <x:v>9</x:v>
      </x:c>
      <x:c r="C27" s="36" t="n">
        <x:f>IFERROR(INDEX(Cards!$A$2:$A$184,MATCH($E27,Cards!$L$2:$L$184,0)),"")</x:f>
        <x:v>9</x:v>
      </x:c>
      <x:c r="D27" s="36" t="str">
        <x:f>IF(C27="","NO PLAYABLE MATCH",IF(C27=B27,"MATCH","REVIEW"))</x:f>
        <x:v>MATCH</x:v>
      </x:c>
      <x:c r="E27" s="36" t="str">
        <x:v>c057</x:v>
      </x:c>
      <x:c r="F27" s="9" t="str">
        <x:v>Ten Tails</x:v>
      </x:c>
      <x:c r="G27" s="9" t="str">
        <x:v>Nature</x:v>
      </x:c>
      <x:c r="H27" s="9" t="str">
        <x:v>Naruto</x:v>
      </x:c>
      <x:c r="I27" s="9" t="str">
        <x:v>Ten-Tails (Jūbi), Naruto Shippuden anime war-arc beast</x:v>
      </x:c>
      <x:c r="J27" s="9" t="n">
        <x:v>1</x:v>
      </x:c>
      <x:c r="K27" s="9" t="str">
        <x:v>Overpowers the Eight- and Nine-Tails, causes terrain to heave on a gigantic scale, fires long-range Tailed Beast Bombs that erase distant targets including Allied Shinobi HQ, and transforms into increasingly powerful forms.</x:v>
      </x:c>
      <x:c r="L27" s="9" t="str">
        <x:v>Directly exceeds individual tailed beasts in raw chakra/output. This entry is the beast itself, not Obito/Madara/Kaguya as Ten-Tails jinchūriki.</x:v>
      </x:c>
      <x:c r="M27" s="9" t="str">
        <x:v>Huge target with limited refined tactics/intelligence in beast form. Can be restrained/sealed by coordinated high-tier shinobi and controlled by sufficiently powerful users.</x:v>
      </x:c>
      <x:c r="N27" s="9" t="str">
        <x:v>Tailed Beast Bombs; immense chakra; regeneration/transformation; gigantic physical power; sensory/chakra connection; nature-energy-like world-scale influence.</x:v>
      </x:c>
      <x:c r="O27" s="9" t="str">
        <x:v>Naruto Shippuden E584/592 (official numbering on site); https://naruto-official.com/en/anime/naruto2/list/01_808</x:v>
      </x:c>
    </x:row>
    <x:row r="28">
      <x:c r="A28" s="9" t="str">
        <x:v>The 7 Heroic Spirits</x:v>
      </x:c>
      <x:c r="B28" s="36" t="n">
        <x:v>9</x:v>
      </x:c>
      <x:c r="C28" s="36" t="n">
        <x:f>IFERROR(INDEX(Cards!$A$2:$A$184,MATCH($E28,Cards!$L$2:$L$184,0)),"")</x:f>
        <x:v>9</x:v>
      </x:c>
      <x:c r="D28" s="36" t="str">
        <x:f>IF(C28="","NO PLAYABLE MATCH",IF(C28=B28,"MATCH","REVIEW"))</x:f>
        <x:v>MATCH</x:v>
      </x:c>
      <x:c r="E28" s="36" t="str">
        <x:v>c101</x:v>
      </x:c>
      <x:c r="F28" s="9" t="str">
        <x:v>The 7 Heroic Spirits</x:v>
      </x:c>
      <x:c r="G28" s="9" t="str">
        <x:v>Magic</x:v>
      </x:c>
      <x:c r="H28" s="9" t="str">
        <x:v>Fate</x:v>
      </x:c>
      <x:c r="I28" s="9" t="str">
        <x:v>Seven Heroic Spirits of Fate/Zero's Fourth Holy Grail War</x:v>
      </x:c>
      <x:c r="J28" s="9" t="n">
        <x:v>7</x:v>
      </x:c>
      <x:c r="K28" s="9" t="str">
        <x:v>Roster: Saber Artoria, Archer Gilgamesh, Lancer Diarmuid, Rider Iskandar, Caster Gilles, Berserker Lancelot and Assassin Hundred Personas. Collectively they provide Excalibur, Ea, Ionioi Hetairoi and varied anti-unit/army/fortress Noble Phantasms.</x:v>
      </x:c>
      <x:c r="L28" s="9" t="str">
        <x:v>Uses one actual Grail War roster rather than mixing the strongest Saber/Archer/etc from unrelated Fate works. Assassin counts as one Heroic Spirit/class even though Hundred Personas manifests many bodies.</x:v>
      </x:c>
      <x:c r="M28" s="9" t="str">
        <x:v>Servants require magical energy/Masters to sustain high-output actions; assume functional mana supply after summoning under standardized-magic rules, but Command Spells/Master combat powers are not added. Personalities make perfect teamwork unrealistic.</x:v>
      </x:c>
      <x:c r="N28" s="9" t="str">
        <x:v>Seven-class Servant toolkit: Noble Phantasms, magic resistance, spirit-form traits, Reality Marble, anti-army/fortress attacks, curses/monsters, stealth and extreme heroic physicality.</x:v>
      </x:c>
      <x:c r="O28" s="9" t="str">
        <x:v>Fate/Zero anime; official cast https://www.fate-zero.jp/cast/</x:v>
      </x:c>
    </x:row>
    <x:row r="29">
      <x:c r="A29" s="9" t="str">
        <x:v>Conquest</x:v>
      </x:c>
      <x:c r="B29" s="36" t="n">
        <x:v>8</x:v>
      </x:c>
      <x:c r="C29" s="36" t="n">
        <x:f>IFERROR(INDEX(Cards!$A$2:$A$184,MATCH($E29,Cards!$L$2:$L$184,0)),"")</x:f>
        <x:v>8</x:v>
      </x:c>
      <x:c r="D29" s="36" t="str">
        <x:f>IF(C29="","NO PLAYABLE MATCH",IF(C29=B29,"MATCH","REVIEW"))</x:f>
        <x:v>MATCH</x:v>
      </x:c>
      <x:c r="E29" s="36" t="str">
        <x:v>c024</x:v>
      </x:c>
      <x:c r="F29" s="9" t="str">
        <x:v>Conquest</x:v>
      </x:c>
      <x:c r="G29" s="9" t="str">
        <x:v>Nature</x:v>
      </x:c>
      <x:c r="H29" s="9" t="str">
        <x:v>Invincible</x:v>
      </x:c>
      <x:c r="I29" s="9" t="str">
        <x:v>Conquest, Invincible animated series through Season 3</x:v>
      </x:c>
      <x:c r="J29" s="9" t="n">
        <x:v>1</x:v>
      </x:c>
      <x:c r="K29" s="9" t="str">
        <x:v>Brutally overwhelms Mark for most of their first fight, survives extensive Viltrumite-level trauma, continues fighting after severe facial/limb damage, and requires Mark's desperate all-out assault to finally incapacitate him.</x:v>
      </x:c>
      <x:c r="L29" s="9" t="str">
        <x:v>Directly scales above Season-3 Mark for most of their encounter and belongs to the upper echelon of veteran Viltrumites, but animated-series evidence should not inherit later comic feats.</x:v>
      </x:c>
      <x:c r="M29" s="9" t="str">
        <x:v>Viltrumites can be injured by comparable strength and have vulnerable inner ears/equilibrium at certain frequencies. Conquest's aggression and enjoyment of battle can make him prolong fights.</x:v>
      </x:c>
      <x:c r="N29" s="9" t="str">
        <x:v>Viltrumite flight; extreme strength, speed, durability, healing, longevity, space survival and combat experience.</x:v>
      </x:c>
      <x:c r="O29" s="9" t="str">
        <x:v>Invincible S3E7–8; https://www.aboutamazon.com/news/entertainment/invincible-season-3</x:v>
      </x:c>
    </x:row>
    <x:row r="30">
      <x:c r="A30" s="9" t="str">
        <x:v>Doom Slayer</x:v>
      </x:c>
      <x:c r="B30" s="36" t="n">
        <x:v>8</x:v>
      </x:c>
      <x:c r="C30" s="36" t="n">
        <x:f>IFERROR(INDEX(Cards!$A$2:$A$184,MATCH($E30,Cards!$L$2:$L$184,0)),"")</x:f>
        <x:v>8</x:v>
      </x:c>
      <x:c r="D30" s="36" t="str">
        <x:f>IF(C30="","NO PLAYABLE MATCH",IF(C30=B30,"MATCH","REVIEW"))</x:f>
        <x:v>MATCH</x:v>
      </x:c>
      <x:c r="E30" s="36" t="str">
        <x:v>c016</x:v>
      </x:c>
      <x:c r="F30" s="9" t="str">
        <x:v>Doom Slayer</x:v>
      </x:c>
      <x:c r="G30" s="9" t="str">
        <x:v>Tech</x:v>
      </x:c>
      <x:c r="H30" s="9" t="str">
        <x:v>Doom</x:v>
      </x:c>
      <x:c r="I30" s="9" t="str">
        <x:v>Doom Slayer, DOOM Eternal: The Ancient Gods Part Two endgame</x:v>
      </x:c>
      <x:c r="J30" s="9" t="n">
        <x:v>1</x:v>
      </x:c>
      <x:c r="K30" s="9" t="str">
        <x:v>Fights through Hell's strongest forces, kills the Icon of Sin and Khan Maykr, invades Immora and defeats the Dark Lord Davoth in direct combat using his full modern arsenal.</x:v>
      </x:c>
      <x:c r="L30" s="9" t="str">
        <x:v>Killing Davoth is a direct boss victory, but it should not automatically transfer every cosmological creation statement about Davoth into the Slayer's punch/weapon output; the fight depicts a weaponized armored duel.</x:v>
      </x:c>
      <x:c r="M30" s="9" t="str">
        <x:v>Relies on weapons, ammunition/resources and combat execution; gameplay and lore presentation do not always map one-to-one. Sentinel allies in the final siege are not part of his personal power.</x:v>
      </x:c>
      <x:c r="N30" s="9" t="str">
        <x:v>Praetor armor; BFG/Unmaykr; Crucible/Sentinel Hammer; plasma/ballistic arsenal; extreme stamina; Glory Kill resource recovery; dimensional traversal through setting technology.</x:v>
      </x:c>
      <x:c r="O30" s="9" t="str">
        <x:v>DOOM Eternal (2020); The Ancient Gods Part I–II; Bethesda https://bethesda.net/en-US/news/ancient-gods-part-two</x:v>
      </x:c>
    </x:row>
    <x:row r="31">
      <x:c r="A31" s="9" t="str">
        <x:v>Escanor</x:v>
      </x:c>
      <x:c r="B31" s="36" t="n">
        <x:v>8</x:v>
      </x:c>
      <x:c r="C31" s="36" t="n">
        <x:f>IFERROR(INDEX(Cards!$A$2:$A$184,MATCH($E31,Cards!$L$2:$L$184,0)),"")</x:f>
        <x:v>8</x:v>
      </x:c>
      <x:c r="D31" s="36" t="str">
        <x:f>IF(C31="","NO PLAYABLE MATCH",IF(C31=B31,"MATCH","REVIEW"))</x:f>
        <x:v>MATCH</x:v>
      </x:c>
      <x:c r="E31" s="36" t="str">
        <x:v>c047</x:v>
      </x:c>
      <x:c r="F31" s="9" t="str">
        <x:v>Escanor</x:v>
      </x:c>
      <x:c r="G31" s="9" t="str">
        <x:v>Magic</x:v>
      </x:c>
      <x:c r="H31" s="9" t="str">
        <x:v>Seven Deadly Sins</x:v>
      </x:c>
      <x:c r="I31" s="9" t="str">
        <x:v>Escanor, anime endgame with Sunshine; full day/night cycle including The One and The One Ultimate</x:v>
      </x:c>
      <x:c r="J31" s="9" t="n">
        <x:v>1</x:v>
      </x:c>
      <x:c r="K31" s="9" t="str">
        <x:v>Sunshine raises Escanor from frail nighttime human to overwhelming daytime combatant. At high noon The One defeats Assault Mode Meliodas with a decisive strike and later breaks through Zeldris's defenses; in the final battle he burns his own life force to extend his peak as The One Ultimate and physically battles the Demon King.</x:v>
      </x:c>
      <x:c r="L31" s="9" t="str">
        <x:v>His noon peak is among the highest direct physical states shown by the Seven Deadly Sins. The One Ultimate is included because it is generated by Escanor burning his own life rather than receiving an external amp, but it is a suicidal extension rather than a sustainable baseline.</x:v>
      </x:c>
      <x:c r="M31" s="9" t="str">
        <x:v>Power follows the sun: extremely weak at night, rises through the morning, peaks for roughly one minute at high noon, then declines. The One Ultimate consumes his own life force and ultimately kills him. His ranking must therefore reflect both extraordinary peak and severe time-dependent lows.</x:v>
      </x:c>
      <x:c r="N31" s="9" t="str">
        <x:v>Sunshine solar amplification; heat/light aura; Cruel Sun; Divine Sword/Spear Escanor; immense peak strength/durability; Rhitta energy storage; The One; self-sacrificial The One Ultimate.</x:v>
      </x:c>
      <x:c r="O31" s="9" t="str">
        <x:v>The Seven Deadly Sins anime, Escanor vs Meliodas/Zeldris and final Demon King battle; https://nanatsu-no-taizai.fandom.com/wiki/Escanor</x:v>
      </x:c>
    </x:row>
    <x:row r="32">
      <x:c r="A32" s="9" t="str">
        <x:v>Floor Guardians</x:v>
      </x:c>
      <x:c r="B32" s="36" t="n">
        <x:v>8</x:v>
      </x:c>
      <x:c r="C32" s="36" t="n">
        <x:f>IFERROR(INDEX(Cards!$A$2:$A$184,MATCH($E32,Cards!$L$2:$L$184,0)),"")</x:f>
        <x:v>8</x:v>
      </x:c>
      <x:c r="D32" s="36" t="str">
        <x:f>IF(C32="","NO PLAYABLE MATCH",IF(C32=B32,"MATCH","REVIEW"))</x:f>
        <x:v>MATCH</x:v>
      </x:c>
      <x:c r="E32" s="36" t="str">
        <x:v>c083</x:v>
      </x:c>
      <x:c r="F32" s="9" t="str">
        <x:v>Floor Guardians</x:v>
      </x:c>
      <x:c r="G32" s="9" t="str">
        <x:v>Magic</x:v>
      </x:c>
      <x:c r="H32" s="9" t="str">
        <x:v>Overlord</x:v>
      </x:c>
      <x:c r="I32" s="9" t="str">
        <x:v>Nazarick Floor Guardians plus Albedo, Overlord anime through Season 4</x:v>
      </x:c>
      <x:c r="J32" s="9" t="n">
        <x:v>8</x:v>
      </x:c>
      <x:c r="K32" s="9" t="str">
        <x:v>Group includes Shalltear, Gargantua, Cocytus, Aura, Mare, Demiurge, Victim and Albedo. Their shown capabilities span level-100-class melee/magic, gigantic constructs, mass-area magic, beast/summon control, sacrificial debuffs and Albedo's exceptional defensive/tank specialization.</x:v>
      </x:c>
      <x:c r="L32" s="9" t="str">
        <x:v>Most members sit near the top of Nazarick's NPC hierarchy, but their builds differ sharply. Shalltear is an elite duel specialist, Albedo an extreme tank, Mare an AOE caster, Demiurge/Aura controllers, and Victim a sacrificial support unit; the group should not be treated as eight identical level-100 damage dealers.</x:v>
      </x:c>
      <x:c r="M32" s="9" t="str">
        <x:v>They rarely fight as one perfect eight-member formation. Gargantua needs commands; Victim's strongest utility is sacrificial; Aura/Demiurge rely partly on controlled creatures/servants; specialization creates matchup weaknesses despite very high overall stats.</x:v>
      </x:c>
      <x:c r="N32" s="9" t="str">
        <x:v>Vampiric/divine magic; extreme tanking/defense; high-level melee; ice; druidic AOE; beast taming; demon summons/control; sacrificial debuffs; flight; resistances; YGGDRASIL high-level equipment and class abilities.</x:v>
      </x:c>
      <x:c r="O32" s="9" t="str">
        <x:v>Overlord anime S1–S4; https://overlordmaruyama.fandom.com/wiki/Floor_Guardian ; https://overlordmaruyama.fandom.com/wiki/Albedo</x:v>
      </x:c>
    </x:row>
    <x:row r="33">
      <x:c r="A33" s="9" t="str">
        <x:v>Gilgamesh</x:v>
      </x:c>
      <x:c r="B33" s="36" t="n">
        <x:v>8</x:v>
      </x:c>
      <x:c r="C33" s="36" t="n">
        <x:f>IFERROR(INDEX(Cards!$A$2:$A$184,MATCH($E33,Cards!$L$2:$L$184,0)),"")</x:f>
        <x:v>8</x:v>
      </x:c>
      <x:c r="D33" s="36" t="str">
        <x:f>IF(C33="","NO PLAYABLE MATCH",IF(C33=B33,"MATCH","REVIEW"))</x:f>
        <x:v>MATCH</x:v>
      </x:c>
      <x:c r="E33" s="36" t="str">
        <x:v>c019</x:v>
      </x:c>
      <x:c r="F33" s="9" t="str">
        <x:v>Gilgamesh</x:v>
      </x:c>
      <x:c r="G33" s="9" t="str">
        <x:v>Magic</x:v>
      </x:c>
      <x:c r="H33" s="9" t="str">
        <x:v>Fate</x:v>
      </x:c>
      <x:c r="I33" s="9" t="str">
        <x:v>Gilgamesh, Archer from Fate/Zero / Fate-stay night anime continuity</x:v>
      </x:c>
      <x:c r="J33" s="9" t="n">
        <x:v>1</x:v>
      </x:c>
      <x:c r="K33" s="9" t="str">
        <x:v>Gate of Babylon launches enormous numbers of Noble Phantasms; Enkidu can bind divine targets; Ea's Enuma Elish tears apart Iskandar's Reality Marble and is treated as his decisive Anti-World trump card.</x:v>
      </x:c>
      <x:c r="L33" s="9" t="str">
        <x:v>Same heroic spirit appears across the Fourth/Fifth Holy Grail War screen continuity. 'Anti-World' describes Ea's classification/effect on bounded worlds, not demonstrated destruction of an entire physical universe.</x:v>
      </x:c>
      <x:c r="M33" s="9" t="str">
        <x:v>Arrogance routinely causes him to underuse his strongest tools. Ea must be drawn/activated; Gate projectiles can be dodged/deflected by sufficiently fast peers. Servant existence normally depends on mana supply.</x:v>
      </x:c>
      <x:c r="N33" s="9" t="str">
        <x:v>Gate of Babylon; Ea/Enuma Elish; Enkidu; clairvoyant/treasure collection tools; high magic resistance and Servant physicality.</x:v>
      </x:c>
      <x:c r="O33" s="9" t="str">
        <x:v>Fate/Zero anime, especially E11 and E23; official cast https://www.fate-zero.jp/cast/</x:v>
      </x:c>
    </x:row>
    <x:row r="34">
      <x:c r="A34" s="9" t="str">
        <x:v>Gol D. Roger</x:v>
      </x:c>
      <x:c r="B34" s="36" t="n">
        <x:v>8</x:v>
      </x:c>
      <x:c r="C34" s="36" t="n">
        <x:f>IFERROR(INDEX(Cards!$A$2:$A$184,MATCH($E34,Cards!$L$2:$L$184,0)),"")</x:f>
        <x:v>8</x:v>
      </x:c>
      <x:c r="D34" s="36" t="str">
        <x:f>IF(C34="","NO PLAYABLE MATCH",IF(C34=B34,"MATCH","REVIEW"))</x:f>
        <x:v>MATCH</x:v>
      </x:c>
      <x:c r="E34" s="36" t="str">
        <x:v>c017</x:v>
      </x:c>
      <x:c r="F34" s="9" t="str">
        <x:v>Gol D. Roger</x:v>
      </x:c>
      <x:c r="G34" s="9" t="str">
        <x:v>Magic</x:v>
      </x:c>
      <x:c r="H34" s="9" t="str">
        <x:v>One Piece</x:v>
      </x:c>
      <x:c r="I34" s="9" t="str">
        <x:v>Gol D. Roger, prime/healthy Pirate King as represented in anime flashbacks</x:v>
      </x:c>
      <x:c r="J34" s="9" t="n">
        <x:v>1</x:v>
      </x:c>
      <x:c r="K34" s="9" t="str">
        <x:v>Clashes with prime Whitebeard without their weapons touching, producing a massive Conqueror's Haki collision that shakes the island; fights Whitebeard's crew for three days and nights; uses Divine Departure to send Oden flying.</x:v>
      </x:c>
      <x:c r="L34" s="9" t="str">
        <x:v>Directly scales as Whitebeard's peer in the anime flashback. Source-material peek: manga Ch. 1165 finally shows much more of God Valley: Roger and Garp jointly fight a demonized Rocks, their Supreme King Haki clashes contribute to destroying what remains of the island, and they focus a combined mass of Conqueror's Haki into the attack that incapacitates Rocks. Because the finishing blow is explicitly combined with Garp, it supports Roger's extreme Haki ceiling but is not counted as a solo Rocks defeat.</x:v>
      </x:c>
      <x:c r="M34" s="9" t="str">
        <x:v>Very limited screen combat sample and no Devil Fruit. Exact full toolkit beyond elite Haki/swordsmanship is not shown.</x:v>
      </x:c>
      <x:c r="N34" s="9" t="str">
        <x:v>Advanced Conqueror's Haki coating; Armament/Observation Haki; supreme swordsmanship; extreme physical strength/endurance.</x:v>
      </x:c>
      <x:c r="O34" s="9" t="str">
        <x:v>One Piece E965–966; official E966 https://one-piece.com/anime/o5691/index.html ; source-material peek: One Piece Ch. 1165 'Reverberations' https://onepiece.fandom.com/wiki/Chapter_1165</x:v>
      </x:c>
    </x:row>
    <x:row r="35">
      <x:c r="A35" s="9" t="str">
        <x:v>Kaido</x:v>
      </x:c>
      <x:c r="B35" s="36" t="n">
        <x:v>8</x:v>
      </x:c>
      <x:c r="C35" s="36" t="n">
        <x:f>IFERROR(INDEX(Cards!$A$2:$A$184,MATCH($E35,Cards!$L$2:$L$184,0)),"")</x:f>
        <x:v>8</x:v>
      </x:c>
      <x:c r="D35" s="36" t="str">
        <x:f>IF(C35="","NO PLAYABLE MATCH",IF(C35=B35,"MATCH","REVIEW"))</x:f>
        <x:v>MATCH</x:v>
      </x:c>
      <x:c r="E35" s="36" t="str">
        <x:v>c058</x:v>
      </x:c>
      <x:c r="F35" s="9" t="str">
        <x:v>Kaido</x:v>
      </x:c>
      <x:c r="G35" s="9" t="str">
        <x:v>Nature</x:v>
      </x:c>
      <x:c r="H35" s="9" t="str">
        <x:v>One Piece</x:v>
      </x:c>
      <x:c r="I35" s="9" t="str">
        <x:v>Kaido, One Piece anime Wano peak hybrid / Flame Dragon Torch</x:v>
      </x:c>
      <x:c r="J35" s="9" t="n">
        <x:v>1</x:v>
      </x:c>
      <x:c r="K35" s="9" t="str">
        <x:v>Carries Onigashima through the sky with flame clouds while fighting repeated high-level opponents; survives a long raid gauntlet; overwhelms multiple Gear 4 exchanges; uses giant dragon/hybrid forms and Flame Dragon Torch before losing to Gear 5 Bajrang Gun.</x:v>
      </x:c>
      <x:c r="L35" s="9" t="str">
        <x:v>Directly scales to Gear 5 Luffy and above most Wano combatants; his final loss follows prolonged accumulated damage and fatigue, so neither side should be scaled from a pristine one-hit result.</x:v>
      </x:c>
      <x:c r="M35" s="9" t="str">
        <x:v>Devil Fruit users retain sea/seastone weakness. Flame clouds and prolonged fighting consume stamina. His tendency to accept attacks and fight while drinking can expose him unnecessarily.</x:v>
      </x:c>
      <x:c r="N35" s="9" t="str">
        <x:v>Mythical Zoan dragon transformation; Boro Breath; flame clouds; wind/lightning techniques; advanced Conqueror/Armament/Observation Haki; Future Sight; exceptional durability.</x:v>
      </x:c>
      <x:c r="O35" s="9" t="str">
        <x:v>One Piece Wano anime E1015–1076; official E1076 https://one-piece.com/anime/63846/index.html</x:v>
      </x:c>
    </x:row>
    <x:row r="36">
      <x:c r="A36" s="9" t="str">
        <x:v>Korosensei</x:v>
      </x:c>
      <x:c r="B36" s="36" t="n">
        <x:v>8</x:v>
      </x:c>
      <x:c r="C36" s="36" t="n">
        <x:f>IFERROR(INDEX(Cards!$A$2:$A$184,MATCH($E36,Cards!$L$2:$L$184,0)),"")</x:f>
        <x:v>8</x:v>
      </x:c>
      <x:c r="D36" s="36" t="str">
        <x:f>IF(C36="","NO PLAYABLE MATCH",IF(C36=B36,"MATCH","REVIEW"))</x:f>
        <x:v>MATCH</x:v>
      </x:c>
      <x:c r="E36" s="36" t="str">
        <x:v>c059</x:v>
      </x:c>
      <x:c r="F36" s="9" t="str">
        <x:v>Korosensei</x:v>
      </x:c>
      <x:c r="G36" s="9" t="str">
        <x:v>Nature</x:v>
      </x:c>
      <x:c r="H36" s="9" t="str">
        <x:v>Assasination Classroom</x:v>
      </x:c>
      <x:c r="I36" s="9" t="str">
        <x:v>Korosensei, Assassination Classroom anime endgame</x:v>
      </x:c>
      <x:c r="J36" s="9" t="n">
        <x:v>1</x:v>
      </x:c>
      <x:c r="K36" s="9" t="str">
        <x:v>Moves and flies at up to Mach 20, reacts to coordinated assassination attempts, regenerates tentacles/body damage, uses mucus and shedding/defensive techniques, and retains elite assassin skill/intellect.</x:v>
      </x:c>
      <x:c r="L36" s="9" t="str">
        <x:v>The Moon's destruction is NOT Korosensei's feat: the anime later reveals the catastrophic antimatter experiment occurred in a test rat. His credible scaling should therefore center on Mach-20 mobility, survival tools and assassination skill.</x:v>
      </x:c>
      <x:c r="M36" s="9" t="str">
        <x:v>Special anti-Korosensei materials/weapons damage him severely while being safe to humans; water can interfere with his body/mucus; regeneration and special defenses have conditions/cooldowns. His antimatter death risk is plot-specific and not an attack feat.</x:v>
      </x:c>
      <x:c r="N36" s="9" t="str">
        <x:v>Mach-20 movement/flight; regeneration; tentacle manipulation; camouflage/afterimages; mucus; defensive shell; extreme sensory processing; master assassination tactics.</x:v>
      </x:c>
      <x:c r="O36" s="9" t="str">
        <x:v>Assassination Classroom S1E1 and S2E16 (overall E38); https://ansatsukyoshitsu.fandom.com/wiki/Episode_38</x:v>
      </x:c>
    </x:row>
    <x:row r="37">
      <x:c r="A37" s="9" t="str">
        <x:v>Marshall D. Teach</x:v>
      </x:c>
      <x:c r="B37" s="36" t="n">
        <x:v>8</x:v>
      </x:c>
      <x:c r="C37" s="36" t="n">
        <x:f>IFERROR(INDEX(Cards!$A$2:$A$184,MATCH($E37,Cards!$L$2:$L$184,0)),"")</x:f>
        <x:v>8</x:v>
      </x:c>
      <x:c r="D37" s="36" t="str">
        <x:f>IF(C37="","NO PLAYABLE MATCH",IF(C37=B37,"MATCH","REVIEW"))</x:f>
        <x:v>MATCH</x:v>
      </x:c>
      <x:c r="E37" s="36" t="str">
        <x:v>c018</x:v>
      </x:c>
      <x:c r="F37" s="9" t="str">
        <x:v>Marshall D. Teach</x:v>
      </x:c>
      <x:c r="G37" s="9" t="str">
        <x:v>Magic</x:v>
      </x:c>
      <x:c r="H37" s="9" t="str">
        <x:v>One Piece</x:v>
      </x:c>
      <x:c r="I37" s="9" t="str">
        <x:v>Marshall D. Teach / Blackbeard, current One Piece anime with Yami Yami + Gura Gura fruits</x:v>
      </x:c>
      <x:c r="J37" s="9" t="n">
        <x:v>1</x:v>
      </x:c>
      <x:c r="K37" s="9" t="str">
        <x:v>Defeats Ace with darkness/gravity-like Devil Fruit effects; nullifies other Devil Fruit powers through physical contact; takes Whitebeard's quake power and later uses both fruits in combat.</x:v>
      </x:c>
      <x:c r="L37" s="9" t="str">
        <x:v>Scales as a Yonko-level threat, but current screen feats are less cleanly dominant than reputation/title scaling. Do not import future manga-only showings.</x:v>
      </x:c>
      <x:c r="M37" s="9" t="str">
        <x:v>Yami Yami no Mi does not grant normal Logia intangibility and causes him to feel/take amplified pain; nullification needs physical contact. Both fruits retain standard sea/seastone vulnerability.</x:v>
      </x:c>
      <x:c r="N37" s="9" t="str">
        <x:v>Darkness/gravity attraction; Devil Fruit nullification on touch; quake/shockwave generation; absorption/storage-like darkness; Armament/Observation Haki.</x:v>
      </x:c>
      <x:c r="O37" s="9" t="str">
        <x:v>One Piece E325; E485–486; later anime appearances; official E485 https://one-piece.com/anime/485/index.html</x:v>
      </x:c>
    </x:row>
    <x:row r="38">
      <x:c r="A38" s="9" t="str">
        <x:v>Meteor</x:v>
      </x:c>
      <x:c r="B38" s="36" t="n">
        <x:v>8</x:v>
      </x:c>
      <x:c r="C38" s="36" t="n">
        <x:f>IFERROR(INDEX(Cards!$A$2:$A$184,MATCH($E38,Cards!$L$2:$L$184,0)),"")</x:f>
        <x:v>8</x:v>
      </x:c>
      <x:c r="D38" s="36" t="str">
        <x:f>IF(C38="","NO PLAYABLE MATCH",IF(C38=B38,"MATCH","REVIEW"))</x:f>
        <x:v>MATCH</x:v>
      </x:c>
      <x:c r="E38" s="36" t="str">
        <x:v>c176</x:v>
      </x:c>
      <x:c r="F38" s="9" t="str">
        <x:v>Meteor</x:v>
      </x:c>
      <x:c r="G38" s="9" t="str">
        <x:v>Nature</x:v>
      </x:c>
      <x:c r="H38" s="9" t="str">
        <x:v>Basic</x:v>
      </x:c>
      <x:c r="I38" s="9" t="str">
        <x:v>Generic Chicxulub-class meteor/asteroid (~10 km benchmark)</x:v>
      </x:c>
      <x:c r="J38" s="9" t="n">
        <x:v>1</x:v>
      </x:c>
      <x:c r="K38" s="9" t="str">
        <x:v>A ~10 km impactor is used as the benchmark because the Basic card provides no size. NASA impact references place that scale in the mass-extinction/global-catastrophe class, producing vast blast, ejecta, thermal and climate effects.</x:v>
      </x:c>
      <x:c r="L38" s="9" t="str">
        <x:v>This is an impact event, not an intelligent fighter. Damage depends strongly on diameter, density, velocity, angle and impact location; a different assumed meteor could change the ranking by many tiers.</x:v>
      </x:c>
      <x:c r="M38" s="9" t="str">
        <x:v>Single-use ballistic threat with little ability to redirect after approach. Can potentially be detected/deflected/destroyed before impact by sufficiently capable opponents or defense systems.</x:v>
      </x:c>
      <x:c r="N38" s="9" t="str">
        <x:v>Extreme kinetic impact; blast/thermal effects; earthquakes/tsunamis/ejecta; global atmospheric/climate disruption at benchmark scale.</x:v>
      </x:c>
      <x:c r="O38" s="9" t="str">
        <x:v>NASA/JPL asteroid impact table https://cneos.jpl.nasa.gov/pd/cs/ttx22/ttx22_mod0.pdf ; NASA Chicxulub overview https://science.nasa.gov/earth/deep-impact-and-the-mass-extinction-of-species-65-million-years-ago/</x:v>
      </x:c>
    </x:row>
    <x:row r="39">
      <x:c r="A39" s="9" t="str">
        <x:v>Monkey D. Luffy</x:v>
      </x:c>
      <x:c r="B39" s="36" t="n">
        <x:v>8</x:v>
      </x:c>
      <x:c r="C39" s="36" t="n">
        <x:f>IFERROR(INDEX(Cards!$A$2:$A$184,MATCH($E39,Cards!$L$2:$L$184,0)),"")</x:f>
        <x:v>8</x:v>
      </x:c>
      <x:c r="D39" s="36" t="str">
        <x:f>IF(C39="","NO PLAYABLE MATCH",IF(C39=B39,"MATCH","REVIEW"))</x:f>
        <x:v>MATCH</x:v>
      </x:c>
      <x:c r="E39" s="36" t="str">
        <x:v>c060</x:v>
      </x:c>
      <x:c r="F39" s="9" t="str">
        <x:v>Monkey D. Luffy</x:v>
      </x:c>
      <x:c r="G39" s="9" t="str">
        <x:v>Magic</x:v>
      </x:c>
      <x:c r="H39" s="9" t="str">
        <x:v>One Piece</x:v>
      </x:c>
      <x:c r="I39" s="9" t="str">
        <x:v>Monkey D. Luffy, current anime Gear 5 / awakened Nika</x:v>
      </x:c>
      <x:c r="J39" s="9" t="n">
        <x:v>1</x:v>
      </x:c>
      <x:c r="K39" s="9" t="str">
        <x:v>Awakens Gear 5, repeatedly manhandles Kaido, turns surroundings and even incoming attacks rubber-like, uses giant-body transformations and culminates in Bajrang Gun to defeat Kaido.</x:v>
      </x:c>
      <x:c r="L39" s="9" t="str">
        <x:v>Directly scales to exhausted late-Wano Kaido. Treat Gear 5's cartoon presentation as extreme rubber/body/environment manipulation shown on screen, not unlimited gag/reality warping.</x:v>
      </x:c>
      <x:c r="M39" s="9" t="str">
        <x:v>Gear 5 consumes substantial stamina and can leave Luffy temporarily aged/exhausted before recovery. Standard Devil Fruit sea/seastone weakness remains.</x:v>
      </x:c>
      <x:c r="N39" s="9" t="str">
        <x:v>Awakened Nika rubberization; Gear 5 body/size freedom; all three Haki types including advanced Conqueror coating; Future Sight; internal-destruction Armament; lightning/environment interaction.</x:v>
      </x:c>
      <x:c r="O39" s="9" t="str">
        <x:v>One Piece E1071–1077; official E1071 https://one-piece.com/anime/62947/index.html</x:v>
      </x:c>
    </x:row>
    <x:row r="40">
      <x:c r="A40" s="9" t="str">
        <x:v>Naruto</x:v>
      </x:c>
      <x:c r="B40" s="36" t="n">
        <x:v>8</x:v>
      </x:c>
      <x:c r="C40" s="36" t="n">
        <x:f>IFERROR(INDEX(Cards!$A$2:$A$184,MATCH($E40,Cards!$L$2:$L$184,0)),"")</x:f>
        <x:v>8</x:v>
      </x:c>
      <x:c r="D40" s="36" t="str">
        <x:f>IF(C40="","NO PLAYABLE MATCH",IF(C40=B40,"MATCH","REVIEW"))</x:f>
        <x:v>MATCH</x:v>
      </x:c>
      <x:c r="E40" s="36" t="str">
        <x:v>c183</x:v>
      </x:c>
      <x:c r="F40" s="9" t="str">
        <x:v>Naruto</x:v>
      </x:c>
      <x:c r="G40" s="9" t="str">
        <x:v>Magic</x:v>
      </x:c>
      <x:c r="H40" s="9" t="str">
        <x:v>Naruto</x:v>
      </x:c>
      <x:c r="I40" s="9" t="str">
        <x:v>Naruto Uzumaki, end-of-Shippuden Six Paths Sage Mode + Kurama Chakra Mode (Fourth Shinobi World War / final battle anime)</x:v>
      </x:c>
      <x:c r="J40" s="9" t="n">
        <x:v>1</x:v>
      </x:c>
      <x:c r="K40" s="9" t="str">
        <x:v>After receiving Six Paths power from Hagoromo, Naruto can levitate, sense otherwise imperceptible threats, use Truth-Seeking Balls and Six Paths-enhanced techniques, fight Madara/Kaguya-tier enemies, sever Kaguya's arm with a chakra-enhanced strike, and battle Six Paths Sasuke using his Kurama avatar and enormous senjutsu/Tailed-Beast attacks.</x:v>
      </x:c>
      <x:c r="L40" s="9" t="str">
        <x:v>This is Naruto's strongest Naruto Shippuden screen-era form before later Boruto-era Baryon Mode. It is far more versatile and sustainable than Baryon Mode, and directly scales to Six Paths Sasuke and the Kaguya battle, while Kaguya's final sealing still required Sasuke and Team 7 rather than Naruto alone.</x:v>
      </x:c>
      <x:c r="M40" s="9" t="str">
        <x:v>Extremely powerful but not limitless: major avatar and Rasenshuriken techniques consume large amounts of chakra, Six Paths-level opponents can injure or counter him, and his Truth-Seeking Balls are a finite battlefield resource rather than endlessly regenerated ammunition.</x:v>
      </x:c>
      <x:c r="N40" s="9" t="str">
        <x:v>Six Paths Sage Mode; Kurama Chakra Mode/avatar; flight; Truth-Seeking Balls; Six Paths senjutsu; shadow clones; chakra arms; Rasengan/Rasenshuriken variants; Tailed Beast Rasenshuriken; immense sensory ability, speed, strength and durability.</x:v>
      </x:c>
      <x:c r="O40" s="9" t="str">
        <x:v>Naruto Shippuden anime, especially E421–424, Kaguya battle arc, and E476–478 final Naruto vs. Sasuke; Six Paths Sage Mode overview https://naruto.fandom.com/wiki/Six_Paths_Sage_Mode</x:v>
      </x:c>
    </x:row>
    <x:row r="41">
      <x:c r="A41" s="9" t="str">
        <x:v>Neo</x:v>
      </x:c>
      <x:c r="B41" s="36" t="n">
        <x:v>8</x:v>
      </x:c>
      <x:c r="C41" s="36" t="n">
        <x:f>IFERROR(INDEX(Cards!$A$2:$A$184,MATCH($E41,Cards!$L$2:$L$184,0)),"")</x:f>
        <x:v>8</x:v>
      </x:c>
      <x:c r="D41" s="36" t="str">
        <x:f>IF(C41="","NO PLAYABLE MATCH",IF(C41=B41,"MATCH","REVIEW"))</x:f>
        <x:v>MATCH</x:v>
      </x:c>
      <x:c r="E41" s="36" t="str">
        <x:v>c026</x:v>
      </x:c>
      <x:c r="F41" s="9" t="str">
        <x:v>Neo</x:v>
      </x:c>
      <x:c r="G41" s="9" t="str">
        <x:v>Tech</x:v>
      </x:c>
      <x:c r="H41" s="9" t="str">
        <x:v>Matrix</x:v>
      </x:c>
      <x:c r="I41" s="9" t="str">
        <x:v>Neo, The Matrix Revolutions era; Matrix powers active in all environments by House Rule</x:v>
      </x:c>
      <x:c r="J41" s="9" t="n">
        <x:v>1</x:v>
      </x:c>
      <x:c r="K41" s="9" t="str">
        <x:v>Stops and redirects bullets/attacks telekinetically, flies at extreme speed, defeats large numbers of upgraded agents, fights Smith across the city, and ultimately enables the Source-connected purge that deletes Smith. By House Rule, these Matrix-level abilities remain available outside the simulated Matrix.</x:v>
      </x:c>
      <x:c r="L41" s="9" t="str">
        <x:v>Scales vastly above ordinary Matrix programs and humans. His final Smith victory still depends on his unique Source connection, but there is no longer a power drop between Matrix and real-world battlefields under the House Rule.</x:v>
      </x:c>
      <x:c r="M41" s="9" t="str">
        <x:v>His powers are no longer domain-limited by being outside the Matrix. He can still be overwhelmed by sufficiently powerful comparable reality/code manipulation, and his Source-linked victory over Smith should not be treated as a generic one-hit deletion of any opponent.</x:v>
      </x:c>
      <x:c r="N41" s="9" t="str">
        <x:v>Reality/code manipulation; flight; telekinesis; superhuman speed/strength/durability; enhanced perception; program/reality interaction; Source connection. House Rule extends these powers to the real world.</x:v>
      </x:c>
      <x:c r="O41" s="9" t="str">
        <x:v>The Matrix Reloaded (2003); The Matrix Revolutions (2003); Rules sheet, House Rules; https://www.warnerbros.com/movies/matrix-revolutions</x:v>
      </x:c>
    </x:row>
    <x:row r="42">
      <x:c r="A42" s="9" t="str">
        <x:v>S-Class Heroes</x:v>
      </x:c>
      <x:c r="B42" s="36" t="n">
        <x:v>8</x:v>
      </x:c>
      <x:c r="C42" s="36" t="n">
        <x:f>IFERROR(INDEX(Cards!$A$2:$A$184,MATCH($E42,Cards!$L$2:$L$184,0)),"")</x:f>
        <x:v>8</x:v>
      </x:c>
      <x:c r="D42" s="36" t="str">
        <x:f>IF(C42="","NO PLAYABLE MATCH",IF(C42=B42,"MATCH","REVIEW"))</x:f>
        <x:v>MATCH</x:v>
      </x:c>
      <x:c r="E42" s="36" t="str">
        <x:v>c062</x:v>
      </x:c>
      <x:c r="F42" s="9" t="str">
        <x:v>S-Class Heroes</x:v>
      </x:c>
      <x:c r="G42" s="9" t="str">
        <x:v>ALL</x:v>
      </x:c>
      <x:c r="H42" s="9" t="str">
        <x:v>OPM</x:v>
      </x:c>
      <x:c r="I42" s="9" t="str">
        <x:v>S-Class Heroes, One-Punch Man anime organization roster</x:v>
      </x:c>
      <x:c r="J42" s="9" t="n">
        <x:v>17</x:v>
      </x:c>
      <x:c r="K42" s="9" t="str">
        <x:v>Collectively includes the Hero Association's highest class, with screen feats from Tatsumaki, Bang, Atomic Samurai, Child Emperor, Metal Knight, Genos and others against Dragon-level threats and the Monster Association.</x:v>
      </x:c>
      <x:c r="L42" s="9" t="str">
        <x:v>Team strength is highly uneven and should not be evaluated as '17 Tatsumakis'; King contributes reputation rather than real power. Source-material peek fills the largest screen gap: manga Blast can use portals/gravity techniques to exchange with Cosmic Garou and redirect potentially planet-devastating energy, while later Monster Association material gives Tatsumaki and Genos far larger-scale psychic/energy showings than the current anime. This confirms that the group's ceiling is carried by a few extreme members, especially Blast and Tatsumaki.</x:v>
      </x:c>
      <x:c r="M42" s="9" t="str">
        <x:v>Members are independent personalities and rarely coordinate as a perfect unit. Several lack full screen feats, and King is physically ordinary. Exact roster availability changes over time.</x:v>
      </x:c>
      <x:c r="N42" s="9" t="str">
        <x:v>Mixed: esper telekinesis/barriers, martial arts, swordsmanship, robotics/arsenal, regeneration, cyborg weapons, tactical technology, extreme physical abilities.</x:v>
      </x:c>
      <x:c r="O42" s="9" t="str">
        <x:v>One-Punch Man anime S1–S3; official https://onepunchman-anime.net/ ; source-material peek: Blast/Cosmic Garou, manga Ch. 166–171, https://onepunchman.fandom.com/wiki/Chapter_171 ; Tatsumaki/Genos vs Psykos-Orochi, manga Ch. 134–142, https://onepunchman.fandom.com/wiki/Chapter_142</x:v>
      </x:c>
    </x:row>
    <x:row r="43">
      <x:c r="A43" s="9" t="str">
        <x:v>Seven Deadly Sins</x:v>
      </x:c>
      <x:c r="B43" s="36" t="n">
        <x:v>8</x:v>
      </x:c>
      <x:c r="C43" s="36" t="n">
        <x:f>IFERROR(INDEX(Cards!$A$2:$A$184,MATCH($E43,Cards!$L$2:$L$184,0)),"")</x:f>
        <x:v>8</x:v>
      </x:c>
      <x:c r="D43" s="36" t="str">
        <x:f>IF(C43="","NO PLAYABLE MATCH",IF(C43=B43,"MATCH","REVIEW"))</x:f>
        <x:v>MATCH</x:v>
      </x:c>
      <x:c r="E43" s="36" t="str">
        <x:v>c064</x:v>
      </x:c>
      <x:c r="F43" s="9" t="str">
        <x:v>Seven Deadly Sins</x:v>
      </x:c>
      <x:c r="G43" s="9" t="str">
        <x:v>Magic</x:v>
      </x:c>
      <x:c r="H43" s="9" t="str">
        <x:v>Seven Deadly Sins</x:v>
      </x:c>
      <x:c r="I43" s="9" t="str">
        <x:v>The Seven Deadly Sins, anime final-era team</x:v>
      </x:c>
      <x:c r="J43" s="9" t="n">
        <x:v>7</x:v>
      </x:c>
      <x:c r="K43" s="9" t="str">
        <x:v>As a full team they fight the Demon King with endgame Meliodas, post-Purgatory Ban, full-wing King, Diane, Gowther, Merlin and Escanor; their combined abilities cover top-tier melee, magic, control, healing/support and high-noon Sunshine.</x:v>
      </x:c>
      <x:c r="L43" s="9" t="str">
        <x:v>Use the strongest actual late-series team configuration rather than assembling seven mutually impossible solo snapshots. Escanor's brief life-burning The One Ultimate occurs during the final team battle and is noted as a temporary suicidal peak.</x:v>
      </x:c>
      <x:c r="M43" s="9" t="str">
        <x:v>Coordination and timing matter; several strongest states are temporary. Escanor dies after life-force expenditure; Merlin's spells may need setup; Gowther's mental effects face resistance; the team is not seven equally powerful members.</x:v>
      </x:c>
      <x:c r="N43" s="9" t="str">
        <x:v>Full Counter/demonic power; Snatch; Sunshine; Disaster/Chastiefol; Creation; Invasion/mind magic; Infinity spell extension and broad Merlin utility.</x:v>
      </x:c>
      <x:c r="O43" s="9" t="str">
        <x:v>The Seven Deadly Sins: Dragon's Judgement / final Demon King battle; https://nanatsu-no-taizai.fandom.com/wiki/Seven_Deadly_Sins</x:v>
      </x:c>
    </x:row>
    <x:row r="44">
      <x:c r="A44" s="9" t="str">
        <x:v>Superman</x:v>
      </x:c>
      <x:c r="B44" s="36" t="n">
        <x:v>8</x:v>
      </x:c>
      <x:c r="C44" s="36" t="n">
        <x:f>IFERROR(INDEX(Cards!$A$2:$A$184,MATCH($E44,Cards!$L$2:$L$184,0)),"")</x:f>
        <x:v>8</x:v>
      </x:c>
      <x:c r="D44" s="36" t="str">
        <x:f>IF(C44="","NO PLAYABLE MATCH",IF(C44=B44,"MATCH","REVIEW"))</x:f>
        <x:v>MATCH</x:v>
      </x:c>
      <x:c r="E44" s="36" t="str">
        <x:v>c020</x:v>
      </x:c>
      <x:c r="F44" s="9" t="str">
        <x:v>Superman</x:v>
      </x:c>
      <x:c r="G44" s="9" t="str">
        <x:v>Nature</x:v>
      </x:c>
      <x:c r="H44" s="9" t="str">
        <x:v>DCU</x:v>
      </x:c>
      <x:c r="I44" s="9" t="str">
        <x:v>Superman, DCEU Henry Cavill incarnation (Justice League era)</x:v>
      </x:c>
      <x:c r="J44" s="9" t="n">
        <x:v>1</x:v>
      </x:c>
      <x:c r="K44" s="9" t="str">
        <x:v>After resurrection he simultaneously handles Wonder Woman, Aquaman, Cyborg and Flash; later overwhelms Steppenwolf with little difficulty; survives immense impacts/heat and can perceive/react to Flash while others appear nearly frozen.</x:v>
      </x:c>
      <x:c r="L44" s="9" t="str">
        <x:v>Clearly above the rest of the DCEU Justice League in direct physical combat. Do not import comic Superman feats or the 2025 DCU film incarnation into this version.</x:v>
      </x:c>
      <x:c r="M44" s="9" t="str">
        <x:v>Kryptonite severely weakens/injures him; red-sun-like conditions remove solar empowerment. He can be hurt by sufficiently powerful Kryptonian/Apokoliptian peers and magic is not automatically resisted by Kryptonian biology.</x:v>
      </x:c>
      <x:c r="N44" s="9" t="str">
        <x:v>Kryptonian strength, speed, flight, durability, heat vision, freeze breath, enhanced senses, solar-powered recovery.</x:v>
      </x:c>
      <x:c r="O44" s="9" t="str">
        <x:v>Man of Steel (2013); Batman v Superman (2016); Zack Snyder's Justice League (2021); https://www.dc.com/characters/superman</x:v>
      </x:c>
    </x:row>
    <x:row r="45">
      <x:c r="A45" s="9" t="str">
        <x:v>Whitebeard</x:v>
      </x:c>
      <x:c r="B45" s="36" t="n">
        <x:v>8</x:v>
      </x:c>
      <x:c r="C45" s="36" t="n">
        <x:f>IFERROR(INDEX(Cards!$A$2:$A$184,MATCH($E45,Cards!$L$2:$L$184,0)),"")</x:f>
        <x:v>8</x:v>
      </x:c>
      <x:c r="D45" s="36" t="str">
        <x:f>IF(C45="","NO PLAYABLE MATCH",IF(C45=B45,"MATCH","REVIEW"))</x:f>
        <x:v>MATCH</x:v>
      </x:c>
      <x:c r="E45" s="36" t="str">
        <x:v>c065</x:v>
      </x:c>
      <x:c r="F45" s="9" t="str">
        <x:v>Whitebeard</x:v>
      </x:c>
      <x:c r="G45" s="9" t="str">
        <x:v>Magic</x:v>
      </x:c>
      <x:c r="H45" s="9" t="str">
        <x:v>One Piece</x:v>
      </x:c>
      <x:c r="I45" s="9" t="str">
        <x:v>Edward Newgate / Whitebeard, prime anime flashback</x:v>
      </x:c>
      <x:c r="J45" s="9" t="n">
        <x:v>1</x:v>
      </x:c>
      <x:c r="K45" s="9" t="str">
        <x:v>Clashes evenly with Roger using advanced Haki without weapons touching, shakes the island, and fights Roger's crew for three days; Gura Gura no Mi produces enormous quakes, sea tilts and destructive shockwaves.</x:v>
      </x:c>
      <x:c r="L45" s="9" t="str">
        <x:v>Prime Whitebeard directly scales to Roger. The famous statement that his fruit has the 'power to destroy the world' is treated as reputation/threat language, not a demonstrated literal planet-busting event.</x:v>
      </x:c>
      <x:c r="M45" s="9" t="str">
        <x:v>Devil Fruit sea/seastone weakness. Unlike Marineford Whitebeard, prime version excludes old age, illness and battle-start medical impairment.</x:v>
      </x:c>
      <x:c r="N45" s="9" t="str">
        <x:v>Quake generation through air/earth/sea; advanced Conqueror/Armament/Observation Haki; supreme naginata combat; extreme endurance/strength.</x:v>
      </x:c>
      <x:c r="O45" s="9" t="str">
        <x:v>One Piece E966; Marineford for Gura mechanics; official E966 https://one-piece.com/anime/o5691/index.html</x:v>
      </x:c>
    </x:row>
    <x:row r="46">
      <x:c r="A46" s="9" t="str">
        <x:v>All for One</x:v>
      </x:c>
      <x:c r="B46" s="36" t="n">
        <x:v>7</x:v>
      </x:c>
      <x:c r="C46" s="36" t="n">
        <x:f>IFERROR(INDEX(Cards!$A$2:$A$184,MATCH($E46,Cards!$L$2:$L$184,0)),"")</x:f>
        <x:v>7</x:v>
      </x:c>
      <x:c r="D46" s="36" t="str">
        <x:f>IF(C46="","NO PLAYABLE MATCH",IF(C46=B46,"MATCH","REVIEW"))</x:f>
        <x:v>MATCH</x:v>
      </x:c>
      <x:c r="E46" s="36" t="str">
        <x:v>c071</x:v>
      </x:c>
      <x:c r="F46" s="9" t="str">
        <x:v>All for One</x:v>
      </x:c>
      <x:c r="G46" s="9" t="str">
        <x:v>Magic</x:v>
      </x:c>
      <x:c r="H46" s="9" t="str">
        <x:v>MHA</x:v>
      </x:c>
      <x:c r="I46" s="9" t="str">
        <x:v>All For One, healthy prime body/loadout inferred from MHA anime (no Rewind amp)</x:v>
      </x:c>
      <x:c r="J46" s="9" t="n">
        <x:v>1</x:v>
      </x:c>
      <x:c r="K46" s="9" t="str">
        <x:v>At his best natural condition he fought prime-era All Might and inflicted the career-defining abdominal injury; later screen versions demonstrate a huge stockpile of stolen Quirks, layered ranged attacks, mobility, sensory and enhancement powers.</x:v>
      </x:c>
      <x:c r="L46" s="9" t="str">
        <x:v>Prime AFO is inferred from flashbacks/statements because most detailed animated combat is either his crippled post-All-Might body or the externally Rewound version. Rewind-era youth demonstrates restored body performance but is excluded as an external temporary amp.</x:v>
      </x:c>
      <x:c r="M46" s="9" t="str">
        <x:v>Exact historical Quirk inventory at prime is not fully documented and stolen powers can be lost/countered. His control over stolen Quirks is enormous but not literally every Quirk. One For All resists ordinary theft through accumulated wills.</x:v>
      </x:c>
      <x:c r="N46" s="9" t="str">
        <x:v>Quirk theft/gifting; multiple simultaneous Quirks; Air Cannon; strength/speed enhancement; sensory/radar effects; tendrils; forced activation; regeneration depending on loadout; extreme tactical intelligence.</x:v>
      </x:c>
      <x:c r="O46" s="9" t="str">
        <x:v>My Hero Academia anime S3, S7 and Final Season; official Final Season material https://heroaca.com/news/24257/</x:v>
      </x:c>
    </x:row>
    <x:row r="47">
      <x:c r="A47" s="9" t="str">
        <x:v>All Might</x:v>
      </x:c>
      <x:c r="B47" s="36" t="n">
        <x:v>7</x:v>
      </x:c>
      <x:c r="C47" s="36" t="n">
        <x:f>IFERROR(INDEX(Cards!$A$2:$A$184,MATCH($E47,Cards!$L$2:$L$184,0)),"")</x:f>
        <x:v>7</x:v>
      </x:c>
      <x:c r="D47" s="36" t="str">
        <x:f>IF(C47="","NO PLAYABLE MATCH",IF(C47=B47,"MATCH","REVIEW"))</x:f>
        <x:v>MATCH</x:v>
      </x:c>
      <x:c r="E47" s="36" t="str">
        <x:v>c073</x:v>
      </x:c>
      <x:c r="F47" s="9" t="str">
        <x:v>All Might</x:v>
      </x:c>
      <x:c r="G47" s="9" t="str">
        <x:v>Magic</x:v>
      </x:c>
      <x:c r="H47" s="9" t="str">
        <x:v>MHA</x:v>
      </x:c>
      <x:c r="I47" s="9" t="str">
        <x:v>All Might, healthy prime before his first All For One injury (anime canon)</x:v>
      </x:c>
      <x:c r="J47" s="9" t="n">
        <x:v>1</x:v>
      </x:c>
      <x:c r="K47" s="9" t="str">
        <x:v>Even his weakened form changes weather with punches, defeats the USJ Nomu after hundreds of rapid blows, and defeats All For One with United States of Smash while his remaining One For All is nearly exhausted.</x:v>
      </x:c>
      <x:c r="L47" s="9" t="str">
        <x:v>Prime All Might is repeatedly framed as substantially stronger/faster than the wounded version, but precise multipliers are dialogue estimates rather than clean on-screen prime feats. He directly scales to healthy-prime AFO via their first battle.</x:v>
      </x:c>
      <x:c r="M47" s="9" t="str">
        <x:v>This version removes the abdominal injury, shrinking time limit and terminal OFA embers. He remains a straightforward physical powerhouse with limited ranged options beyond shockwaves and no regeneration/hax.</x:v>
      </x:c>
      <x:c r="N47" s="9" t="str">
        <x:v>One For All physical amplification; extreme speed/strength/durability; air-pressure shockwaves; exceptional combat instincts and mobility.</x:v>
      </x:c>
      <x:c r="O47" s="9" t="str">
        <x:v>My Hero Academia S1–S3; https://heroaca.com/</x:v>
      </x:c>
    </x:row>
    <x:row r="48">
      <x:c r="A48" s="9" t="str">
        <x:v>Avengers</x:v>
      </x:c>
      <x:c r="B48" s="36" t="n">
        <x:v>7</x:v>
      </x:c>
      <x:c r="C48" s="36" t="n">
        <x:f>IFERROR(INDEX(Cards!$A$2:$A$184,MATCH($E48,Cards!$L$2:$L$184,0)),"")</x:f>
        <x:v>7</x:v>
      </x:c>
      <x:c r="D48" s="36" t="str">
        <x:f>IF(C48="","NO PLAYABLE MATCH",IF(C48=B48,"MATCH","REVIEW"))</x:f>
        <x:v>MATCH</x:v>
      </x:c>
      <x:c r="E48" s="36" t="str">
        <x:v>c015</x:v>
      </x:c>
      <x:c r="F48" s="9" t="str">
        <x:v>Avengers</x:v>
      </x:c>
      <x:c r="G48" s="9" t="str">
        <x:v>ALL</x:v>
      </x:c>
      <x:c r="H48" s="9" t="str">
        <x:v>MCU</x:v>
      </x:c>
      <x:c r="I48" s="9" t="str">
        <x:v>Original six MCU Avengers at the Battle of New York (2012 roster)</x:v>
      </x:c>
      <x:c r="J48" s="9" t="n">
        <x:v>6</x:v>
      </x:c>
      <x:c r="K48" s="9" t="str">
        <x:v>Iron Man, Captain America, Thor, Hulk, Black Widow and Hawkeye defeat the Chitauri invasion through coordinated urban combat; Hulk stops a Leviathan and later overwhelms Loki, while Thor/Iron Man supply heavy energy attacks and flight.</x:v>
      </x:c>
      <x:c r="L48" s="9" t="str">
        <x:v>Uses an actual simultaneous team rather than cherry-picking each Avenger's individually strongest version from different years. The roster is far stronger than ordinary militaries but is not equivalent to every hero who later fought under the Avengers banner.</x:v>
      </x:c>
      <x:c r="M48" s="9" t="str">
        <x:v>Wide power disparity among members; Widow/Hawkeye/Cap are vulnerable to high-end area attacks. Teamwork improves performance but they need communication and can be separated. No later members, Endgame army or borrowed Infinity Stones.</x:v>
      </x:c>
      <x:c r="N48" s="9" t="str">
        <x:v>Mixed: Thor lightning, Hulk strength/regeneration, Iron Man armor/flight/weapons, Captain America shield, Hawkeye precision arrows, Black Widow weapons/tactics; strong team coordination.</x:v>
      </x:c>
      <x:c r="O48" s="9" t="str">
        <x:v>The Avengers (2012); Marvel roster reference https://www.marvel.com/comics/collection/46302/marvels_the_avengers_the_avengers_initiative_trade_paperback</x:v>
      </x:c>
    </x:row>
    <x:row r="49">
      <x:c r="A49" s="9" t="str">
        <x:v>Big Mom</x:v>
      </x:c>
      <x:c r="B49" s="36" t="n">
        <x:v>7</x:v>
      </x:c>
      <x:c r="C49" s="36" t="n">
        <x:f>IFERROR(INDEX(Cards!$A$2:$A$184,MATCH($E49,Cards!$L$2:$L$184,0)),"")</x:f>
        <x:v>7</x:v>
      </x:c>
      <x:c r="D49" s="36" t="str">
        <x:f>IF(C49="","NO PLAYABLE MATCH",IF(C49=B49,"MATCH","REVIEW"))</x:f>
        <x:v>MATCH</x:v>
      </x:c>
      <x:c r="E49" s="36" t="str">
        <x:v>c098</x:v>
      </x:c>
      <x:c r="F49" s="9" t="str">
        <x:v>Big Mom</x:v>
      </x:c>
      <x:c r="G49" s="9" t="str">
        <x:v>Magic</x:v>
      </x:c>
      <x:c r="H49" s="9" t="str">
        <x:v>One Piece</x:v>
      </x:c>
      <x:c r="I49" s="9" t="str">
        <x:v>Charlotte Linlin / Big Mom, One Piece anime Wano peak</x:v>
      </x:c>
      <x:c r="J49" s="9" t="n">
        <x:v>1</x:v>
      </x:c>
      <x:c r="K49" s="9" t="str">
        <x:v>Fights Kaido for an extended period without a decisive winner; withstands repeated awakened attacks from Kid and Law; sacrifices one year of her own lifespan to enlarge/empower herself; creates and commands Napoleon, Prometheus, Hera and Misery; remains conscious until Kid/Law force her off Onigashima into explosions and magma.</x:v>
      </x:c>
      <x:c r="L49" s="9" t="str">
        <x:v>Directly scales as a Yonko peer to Kaido in their clash, but Kid and Law defeat her largely by battlefield removal plus bombs/magma rather than cleanly overpowering her durability. Soul Pocus fails against targets who do not fear her.</x:v>
      </x:c>
      <x:c r="M49" s="9" t="str">
        <x:v>Standard Devil Fruit sea/seastone weakness. Soul Pocus requires fear to steal another person's lifespan. Self-lifespan empowerment permanently consumes her lifespan. Her Wano defeat involves ring-out/environmental hazards rather than a conventional knockout.</x:v>
      </x:c>
      <x:c r="N49" s="9" t="str">
        <x:v>Soru Soru no Mi soul/lifespan manipulation; homie creation/control; elemental homies; flight on homies; self-lifespan empowerment; immense natural strength/durability; Armament and Conqueror's Haki.</x:v>
      </x:c>
      <x:c r="O49" s="9" t="str">
        <x:v>One Piece anime Wano arc, especially E1066–1067; Apple TV E1067 https://tv.apple.com/gb/episode/episode-1067/umc.cmc.4qmo0pb9d5rjyk8uglyqf946q ; Crunchyroll clip 'Law and Kid Defeat Big Mom'</x:v>
      </x:c>
    </x:row>
    <x:row r="50">
      <x:c r="A50" s="9" t="str">
        <x:v>Doctor Strange</x:v>
      </x:c>
      <x:c r="B50" s="36" t="n">
        <x:v>7</x:v>
      </x:c>
      <x:c r="C50" s="36" t="n">
        <x:f>IFERROR(INDEX(Cards!$A$2:$A$184,MATCH($E50,Cards!$L$2:$L$184,0)),"")</x:f>
        <x:v>7</x:v>
      </x:c>
      <x:c r="D50" s="36" t="str">
        <x:f>IF(C50="","NO PLAYABLE MATCH",IF(C50=B50,"MATCH","REVIEW"))</x:f>
        <x:v>MATCH</x:v>
      </x:c>
      <x:c r="E50" s="36" t="str">
        <x:v>c013</x:v>
      </x:c>
      <x:c r="F50" s="9" t="str">
        <x:v>Doctor Strange</x:v>
      </x:c>
      <x:c r="G50" s="9" t="str">
        <x:v>Magic</x:v>
      </x:c>
      <x:c r="H50" s="9" t="str">
        <x:v>MCU</x:v>
      </x:c>
      <x:c r="I50" s="9" t="str">
        <x:v>Doctor Strange, MCU Infinity War era with Time Stone, Cloak and Sling Ring</x:v>
      </x:c>
      <x:c r="J50" s="9" t="n">
        <x:v>1</x:v>
      </x:c>
      <x:c r="K50" s="9" t="str">
        <x:v>Uses the Time Stone to examine millions of possible futures; fights four-Stone Thanos with duplicated spell constructs and restraints; can portal across vast distances/realms; previously traps Dormammu in a repeating time loop.</x:v>
      </x:c>
      <x:c r="L50" s="9" t="str">
        <x:v>Infinity War Strange is chosen over later natural versions because the Time Stone was standard entrusted equipment during that era. His Titan performance shows elite hax/defense but he is still physically human if bypassed.</x:v>
      </x:c>
      <x:c r="M50" s="9" t="str">
        <x:v>Complex spells can be interrupted and his body is vulnerable without shields. Portals require Sling Ring/gestures; the Time Stone can be stolen and was later destroyed. Astral projection leaves the body exposed.</x:v>
      </x:c>
      <x:c r="N50" s="9" t="str">
        <x:v>Time manipulation/loops/precognition; portals; astral projection; shields; binding constructs; duplication; transmutation/illusion-like magic; dimensional travel; Cloak-assisted flight/restraint.</x:v>
      </x:c>
      <x:c r="O50" s="9" t="str">
        <x:v>Doctor Strange (2016); Avengers: Infinity War (2018); Marvel on-screen profile https://www.marvel.com/characters/doctor-strange-stephen-strange/on-screen</x:v>
      </x:c>
    </x:row>
    <x:row r="51">
      <x:c r="A51" s="9" t="str">
        <x:v>Elder Centipede</x:v>
      </x:c>
      <x:c r="B51" s="36" t="n">
        <x:v>7</x:v>
      </x:c>
      <x:c r="C51" s="36" t="n">
        <x:f>IFERROR(INDEX(Cards!$A$2:$A$184,MATCH($E51,Cards!$L$2:$L$184,0)),"")</x:f>
        <x:v>7</x:v>
      </x:c>
      <x:c r="D51" s="36" t="str">
        <x:f>IF(C51="","NO PLAYABLE MATCH",IF(C51=B51,"MATCH","REVIEW"))</x:f>
        <x:v>MATCH</x:v>
      </x:c>
      <x:c r="E51" s="36" t="str">
        <x:v>c066</x:v>
      </x:c>
      <x:c r="F51" s="9" t="str">
        <x:v>Elder Centipede</x:v>
      </x:c>
      <x:c r="G51" s="9" t="str">
        <x:v>Nature</x:v>
      </x:c>
      <x:c r="H51" s="9" t="str">
        <x:v>OPM</x:v>
      </x:c>
      <x:c r="I51" s="9" t="str">
        <x:v>Elder Centipede, One-Punch Man anime S2</x:v>
      </x:c>
      <x:c r="J51" s="9" t="n">
        <x:v>1</x:v>
      </x:c>
      <x:c r="K51" s="9" t="str">
        <x:v>Tanks attacks from Genos, Bang and Bomb, molts/regenerates damaged armor, tunnels and causes massive destruction through sheer size; Saitama uses a Serious Punch to annihilate him completely and prevent regeneration/collateral damage.</x:v>
      </x:c>
      <x:c r="L51" s="9" t="str">
        <x:v>Comfortably above most Demon-level threats and durable enough that coordinated S-Class attacks fail to finish him. Saitama's Serious Punch is a finishing comparison, not evidence Elder Centipede is near Boros.</x:v>
      </x:c>
      <x:c r="M51" s="9" t="str">
        <x:v>Enormous body is easy to detect/target; regeneration depends on surviving enough structure to molt. Sufficiently overwhelming total-body destruction bypasses it.</x:v>
      </x:c>
      <x:c r="N51" s="9" t="str">
        <x:v>Gigantic strength/mass; burrowing; armored exoskeleton; molting/regeneration; destructive body charges.</x:v>
      </x:c>
      <x:c r="O51" s="9" t="str">
        <x:v>One-Punch Man S2E12 / overall E24; https://onepunchman.fandom.com/wiki/Episode_24</x:v>
      </x:c>
    </x:row>
    <x:row r="52">
      <x:c r="A52" s="9" t="str">
        <x:v>G-Man</x:v>
      </x:c>
      <x:c r="B52" s="36" t="n">
        <x:v>7</x:v>
      </x:c>
      <x:c r="C52" s="36" t="n">
        <x:f>IFERROR(INDEX(Cards!$A$2:$A$184,MATCH($E52,Cards!$L$2:$L$184,0)),"")</x:f>
        <x:v>7</x:v>
      </x:c>
      <x:c r="D52" s="36" t="str">
        <x:f>IF(C52="","NO PLAYABLE MATCH",IF(C52=B52,"MATCH","REVIEW"))</x:f>
        <x:v>MATCH</x:v>
      </x:c>
      <x:c r="E52" s="36" t="str">
        <x:v>c012</x:v>
      </x:c>
      <x:c r="F52" s="9" t="str">
        <x:v>G-Man</x:v>
      </x:c>
      <x:c r="G52" s="9" t="str">
        <x:v>Magic</x:v>
      </x:c>
      <x:c r="H52" s="9" t="str">
        <x:v>Half-Life</x:v>
      </x:c>
      <x:c r="I52" s="9" t="str">
        <x:v>G-Man, Half-Life / Half-Life: Alyx game canon</x:v>
      </x:c>
      <x:c r="J52" s="9" t="n">
        <x:v>1</x:v>
      </x:c>
      <x:c r="K52" s="9" t="str">
        <x:v>Places Gordon Freeman in stasis for roughly two decades, appears/disappears in impossible locations, manipulates local time/space during encounters, and in Half-Life: Alyx alters the outcome of Eli Vance's death before taking Alyx into service/stasis.</x:v>
      </x:c>
      <x:c r="L52" s="9" t="str">
        <x:v>His demonstrated control over individuals and local causality is far beyond conventional Half-Life combatants, but direct attack potency and durability are essentially unknown. Employer-backed authority should not be assumed unlimited.</x:v>
      </x:c>
      <x:c r="M52" s="9" t="str">
        <x:v>Acts under opaque 'employers' and contractual constraints; frequently negotiates rather than fights. Exact limits, combat speed and whether every intervention is personal power versus employer technology are unstated.</x:v>
      </x:c>
      <x:c r="N52" s="9" t="str">
        <x:v>Stasis; teleportation/interdimensional travel; apparent time stop/time manipulation; localized causality alteration; observation across events; extraction/insertion of individuals.</x:v>
      </x:c>
      <x:c r="O52" s="9" t="str">
        <x:v>Half-Life (1998), Half-Life 2 (2004), Half-Life: Alyx (2020); https://combineoverwiki.net/wiki/G-Man</x:v>
      </x:c>
    </x:row>
    <x:row r="53">
      <x:c r="A53" s="9" t="str">
        <x:v>Genie</x:v>
      </x:c>
      <x:c r="B53" s="36" t="n">
        <x:v>7</x:v>
      </x:c>
      <x:c r="C53" s="36" t="n">
        <x:f>IFERROR(INDEX(Cards!$A$2:$A$184,MATCH($E53,Cards!$L$2:$L$184,0)),"")</x:f>
        <x:v>7</x:v>
      </x:c>
      <x:c r="D53" s="36" t="str">
        <x:f>IF(C53="","NO PLAYABLE MATCH",IF(C53=B53,"MATCH","REVIEW"))</x:f>
        <x:v>MATCH</x:v>
      </x:c>
      <x:c r="E53" s="36" t="str">
        <x:v>c072</x:v>
      </x:c>
      <x:c r="F53" s="9" t="str">
        <x:v>Genie</x:v>
      </x:c>
      <x:c r="G53" s="9" t="str">
        <x:v>Magic</x:v>
      </x:c>
      <x:c r="H53" s="9" t="str">
        <x:v>Aladdin</x:v>
      </x:c>
      <x:c r="I53" s="9" t="str">
        <x:v>Genie, Disney's Aladdin (1992 animated film), bound lamp form</x:v>
      </x:c>
      <x:c r="J53" s="9" t="n">
        <x:v>1</x:v>
      </x:c>
      <x:c r="K53" s="9" t="str">
        <x:v>As the bound Genie, grants up to three wishes and demonstrates enormous magical versatility: instant transmutation and costume/body changes, conjuration of objects and spectacles, teleportation, size/shape alteration and large environmental transformations.</x:v>
      </x:c>
      <x:c r="L53" s="9" t="str">
        <x:v>This card is Genie himself, not the lamp as an object. The bound 1992 form is used because it combines his 'phenomenal cosmic power' with the film's clearest wish-granting rules; feats are broad reality alteration rather than conventional striking power.</x:v>
      </x:c>
      <x:c r="M53" s="9" t="str">
        <x:v>While bound, he must respond to the lamp's master and the master has three wishes. Genie states he cannot kill, make someone fall in love, or bring the dead back. His freedom is constrained by the lamp until wished free.</x:v>
      </x:c>
      <x:c r="N53" s="9" t="str">
        <x:v>Wish-based reality alteration; transmutation; conjuration; teleportation; size/shape change; duplication; weather/environment effects; broad magical creation.</x:v>
      </x:c>
      <x:c r="O53" s="9" t="str">
        <x:v>Aladdin (1992); Disney film page https://www.disneyplus.com/movies/aladdin/2SngByljXESE</x:v>
      </x:c>
    </x:row>
    <x:row r="54">
      <x:c r="A54" s="9" t="str">
        <x:v>Godzilla</x:v>
      </x:c>
      <x:c r="B54" s="36" t="n">
        <x:v>7</x:v>
      </x:c>
      <x:c r="C54" s="36" t="n">
        <x:f>IFERROR(INDEX(Cards!$A$2:$A$184,MATCH($E54,Cards!$L$2:$L$184,0)),"")</x:f>
        <x:v>7</x:v>
      </x:c>
      <x:c r="D54" s="36" t="str">
        <x:f>IF(C54="","NO PLAYABLE MATCH",IF(C54=B54,"MATCH","REVIEW"))</x:f>
        <x:v>MATCH</x:v>
      </x:c>
      <x:c r="E54" s="36" t="str">
        <x:v>c076</x:v>
      </x:c>
      <x:c r="F54" s="9" t="str">
        <x:v>Godzilla</x:v>
      </x:c>
      <x:c r="G54" s="9" t="str">
        <x:v>Nature</x:v>
      </x:c>
      <x:c r="H54" s="9" t="str">
        <x:v>Godzilla</x:v>
      </x:c>
      <x:c r="I54" s="9" t="str">
        <x:v>Godzilla, MonsterVerse, Godzilla vs. Kong (2021)</x:v>
      </x:c>
      <x:c r="J54" s="9" t="n">
        <x:v>1</x:v>
      </x:c>
      <x:c r="K54" s="9" t="str">
        <x:v>Fights Kong twice, dominates the ocean encounter, battles him across Hong Kong, and uses a sustained atomic-breath blast to bore a passage from the surface down toward Hollow Earth. After the Kong fight he can still engage Mechagodzilla, though he is badly worn down.</x:v>
      </x:c>
      <x:c r="L54" s="9" t="str">
        <x:v>This is the 2021 MonsterVerse Godzilla, not the later Evolved form. He scales above the 2014 incarnation and remains a peer-level Titan threat to Kong, but the card does not import the temporary Burning Godzilla amp from 2019 or the 2024 Evolved transformation.</x:v>
      </x:c>
      <x:c r="M54" s="9" t="str">
        <x:v>Atomic breath requires charging and aiming, and agile opponents such as Kong can evade some shots. He can be staggered or injured by peer Titans and is overwhelmed by Mechagodzilla after expending major energy fighting Kong and drilling toward Hollow Earth.</x:v>
      </x:c>
      <x:c r="N54" s="9" t="str">
        <x:v>Atomic breath; immense strength and durability; amphibious movement; radiation/nuclear energy absorption; powerful tail and bite attacks; Titan senses; extreme stamina and recovery.</x:v>
      </x:c>
      <x:c r="O54" s="9" t="str">
        <x:v>Godzilla vs. Kong (2021); MonsterVerse background from Godzilla (2014) and Godzilla: King of the Monsters (2019).</x:v>
      </x:c>
    </x:row>
    <x:row r="55">
      <x:c r="A55" s="9" t="str">
        <x:v>Grand Master Yoda</x:v>
      </x:c>
      <x:c r="B55" s="36" t="n">
        <x:v>7</x:v>
      </x:c>
      <x:c r="C55" s="36" t="n">
        <x:f>IFERROR(INDEX(Cards!$A$2:$A$184,MATCH($E55,Cards!$L$2:$L$184,0)),"")</x:f>
        <x:v>7</x:v>
      </x:c>
      <x:c r="D55" s="36" t="str">
        <x:f>IF(C55="","NO PLAYABLE MATCH",IF(C55=B55,"MATCH","REVIEW"))</x:f>
        <x:v>MATCH</x:v>
      </x:c>
      <x:c r="E55" s="36" t="str">
        <x:v>c074</x:v>
      </x:c>
      <x:c r="F55" s="9" t="str">
        <x:v>Grand Master Yoda</x:v>
      </x:c>
      <x:c r="G55" s="9" t="str">
        <x:v>Magic</x:v>
      </x:c>
      <x:c r="H55" s="9" t="str">
        <x:v>Star Wars</x:v>
      </x:c>
      <x:c r="I55" s="9" t="str">
        <x:v>Yoda, late Clone Wars / Revenge of the Sith screen canon</x:v>
      </x:c>
      <x:c r="J55" s="9" t="n">
        <x:v>1</x:v>
      </x:c>
      <x:c r="K55" s="9" t="str">
        <x:v>Matches Count Dooku in Force/lightsaber combat; rapidly cuts through clone/droid forces; confronts Darth Sidious and contests his Force attacks in the Senate before withdrawing; later masters the path to retain consciousness after death.</x:v>
      </x:c>
      <x:c r="L55" s="9" t="str">
        <x:v>Directly scales among the very strongest prequel-era Jedi and can contend with Sidious, but he does not decisively defeat him. Legends feats are excluded.</x:v>
      </x:c>
      <x:c r="M55" s="9" t="str">
        <x:v>Small physical body is highly dependent on Force augmentation in combat; sustained intense dueling can tire him. Force precognition is not perfect future sight and can be clouded by the dark side.</x:v>
      </x:c>
      <x:c r="N55" s="9" t="str">
        <x:v>Telekinesis; Force push/pull; enhanced speed/agility; precognition; mind influence; energy absorption/deflection; lightsaber mastery; spiritual immortality knowledge.</x:v>
      </x:c>
      <x:c r="O55" s="9" t="str">
        <x:v>Star Wars Episodes II–III; The Clone Wars; official Databank https://www.starwars.com/databank/yoda</x:v>
      </x:c>
    </x:row>
    <x:row r="56">
      <x:c r="A56" s="9" t="str">
        <x:v>Isaac Netero</x:v>
      </x:c>
      <x:c r="B56" s="36" t="n">
        <x:v>7</x:v>
      </x:c>
      <x:c r="C56" s="36" t="n">
        <x:f>IFERROR(INDEX(Cards!$A$2:$A$184,MATCH($E56,Cards!$L$2:$L$184,0)),"")</x:f>
        <x:v>7</x:v>
      </x:c>
      <x:c r="D56" s="36" t="str">
        <x:f>IF(C56="","NO PLAYABLE MATCH",IF(C56=B56,"MATCH","REVIEW"))</x:f>
        <x:v>MATCH</x:v>
      </x:c>
      <x:c r="E56" s="36" t="str">
        <x:v>c069</x:v>
      </x:c>
      <x:c r="F56" s="9" t="str">
        <x:v>Isaac Netero</x:v>
      </x:c>
      <x:c r="G56" s="9" t="str">
        <x:v>Magic</x:v>
      </x:c>
      <x:c r="H56" s="9" t="str">
        <x:v>HxH</x:v>
      </x:c>
      <x:c r="I56" s="9" t="str">
        <x:v>Isaac Netero, Hunter x Hunter 2011 anime, peak old-age combat state</x:v>
      </x:c>
      <x:c r="J56" s="9" t="n">
        <x:v>1</x:v>
      </x:c>
      <x:c r="K56" s="9" t="str">
        <x:v>100-Type Guanyin Bodhisattva lands thousands of extraordinarily rapid strikes on Meruem; Netero continues after losing limbs and expends essentially all aura in Zero Hand, blasting apart the underground arena but failing to kill Meruem.</x:v>
      </x:c>
      <x:c r="L56" s="9" t="str">
        <x:v>Directly below pre-Rose Meruem in durability/overall outcome but initially faster in the prayer/Guanyin attack sequence. The implanted Poor Man's Rose is excluded from personal power as mission-specific external equipment.</x:v>
      </x:c>
      <x:c r="M56" s="9" t="str">
        <x:v>Finite aura; Zero Hand consumes essentially all remaining aura. Bodhisattva attacks depend on his prayer motion. His human body can be dismembered by Meruem once the King reads his patterns.</x:v>
      </x:c>
      <x:c r="N56" s="9" t="str">
        <x:v>100-Type Guanyin Bodhisattva; extreme prayer/attack speed; Nen aura; Zero Hand; master martial arts and tactical resolve.</x:v>
      </x:c>
      <x:c r="O56" s="9" t="str">
        <x:v>Hunter x Hunter E125–126; NTV official E126 https://www.ntv.co.jp/hunterhunter/story/126.html</x:v>
      </x:c>
    </x:row>
    <x:row r="57">
      <x:c r="A57" s="9" t="str">
        <x:v>Kizaru</x:v>
      </x:c>
      <x:c r="B57" s="36" t="n">
        <x:v>7</x:v>
      </x:c>
      <x:c r="C57" s="36" t="n">
        <x:f>IFERROR(INDEX(Cards!$A$2:$A$184,MATCH($E57,Cards!$L$2:$L$184,0)),"")</x:f>
        <x:v>7</x:v>
      </x:c>
      <x:c r="D57" s="36" t="str">
        <x:f>IF(C57="","NO PLAYABLE MATCH",IF(C57=B57,"MATCH","REVIEW"))</x:f>
        <x:v>MATCH</x:v>
      </x:c>
      <x:c r="E57" s="36" t="str">
        <x:v>c014</x:v>
      </x:c>
      <x:c r="F57" s="9" t="str">
        <x:v>Kizaru</x:v>
      </x:c>
      <x:c r="G57" s="9" t="str">
        <x:v>Magic</x:v>
      </x:c>
      <x:c r="H57" s="9" t="str">
        <x:v>One Piece</x:v>
      </x:c>
      <x:c r="I57" s="9" t="str">
        <x:v>Borsalino / Kizaru, One Piece anime Egghead era</x:v>
      </x:c>
      <x:c r="J57" s="9" t="n">
        <x:v>1</x:v>
      </x:c>
      <x:c r="K57" s="9" t="str">
        <x:v>Transforms into and projects light, attacks with lasers and light-speed movement bursts, overwhelms many high-level pirates, and in Egghead directly clashes with Gear 5 Luffy while pursuing his mission.</x:v>
      </x:c>
      <x:c r="L57" s="9" t="str">
        <x:v>Scales as an Admiral and can contend with top-tier opponents for periods, but 'made of light' is not used as a blanket proof that every combat reaction or attack is literally unrestricted real-world c in all contexts.</x:v>
      </x:c>
      <x:c r="M57" s="9" t="str">
        <x:v>Standard Devil Fruit sea/seastone weakness. Light movement often follows chosen trajectories and can be anticipated by Observation Haki; emotional conflict/mission priorities on Egghead may affect performance.</x:v>
      </x:c>
      <x:c r="N57" s="9" t="str">
        <x:v>Pika Pika no Mi light-body transformation; lasers; rapid light travel/reflection routes; sword of light; Armament/Observation Haki; flight-like mobility.</x:v>
      </x:c>
      <x:c r="O57" s="9" t="str">
        <x:v>One Piece anime Sabaody/Marineford/Egghead arcs; https://one-piece.com/anime/</x:v>
      </x:c>
    </x:row>
    <x:row r="58">
      <x:c r="A58" s="9" t="str">
        <x:v>Lelouch Lamperouge</x:v>
      </x:c>
      <x:c r="B58" s="36" t="n">
        <x:v>7</x:v>
      </x:c>
      <x:c r="C58" s="36" t="n">
        <x:f>IFERROR(INDEX(Cards!$A$2:$A$184,MATCH($E58,Cards!$L$2:$L$184,0)),"")</x:f>
        <x:v>7</x:v>
      </x:c>
      <x:c r="D58" s="36" t="str">
        <x:f>IF(C58="","NO PLAYABLE MATCH",IF(C58=B58,"MATCH","REVIEW"))</x:f>
        <x:v>MATCH</x:v>
      </x:c>
      <x:c r="E58" s="36" t="str">
        <x:v>c048</x:v>
      </x:c>
      <x:c r="F58" s="9" t="str">
        <x:v>Lelouch Lamperouge</x:v>
      </x:c>
      <x:c r="G58" s="9" t="str">
        <x:v>Magic</x:v>
      </x:c>
      <x:c r="H58" s="9" t="str">
        <x:v>Code Geass</x:v>
      </x:c>
      <x:c r="I58" s="9" t="str">
        <x:v>Lelouch vi Britannia, late Code Geass R2 with evolved Geass and Shinkiro</x:v>
      </x:c>
      <x:c r="J58" s="9" t="n">
        <x:v>1</x:v>
      </x:c>
      <x:c r="K58" s="9" t="str">
        <x:v>Commands large numbers of people through eye contact, forces highly specific behavior, outmaneuvers major military powers, and pilots Shinkiro with its Absolute Defense System and high-output hadron weaponry.</x:v>
      </x:c>
      <x:c r="L58" s="9" t="str">
        <x:v>His true threat is strategic/hax rather than physical. With knowledge and eye contact he can neutralize opponents far above human combat scale, but he does not scale physically to Knightmare Frames or superhuman targets.</x:v>
      </x:c>
      <x:c r="M58" s="9" t="str">
        <x:v>Geass generally requires direct visual contact and can affect a given person only once; commands must be understood. His Geass becomes permanently active, requiring a special contact lens. Human body remains vulnerable outside Shinkiro.</x:v>
      </x:c>
      <x:c r="N58" s="9" t="str">
        <x:v>Absolute Obedience Geass; strategic genius; Shinkiro's Absolute Defense field, flight and hadron cannons; remote command/control.</x:v>
      </x:c>
      <x:c r="O58" s="9" t="str">
        <x:v>Code Geass: Lelouch of the Rebellion R2; https://codegeass.fandom.com/wiki/Lelouch_vi_Britannia</x:v>
      </x:c>
    </x:row>
    <x:row r="59">
      <x:c r="A59" s="9" t="str">
        <x:v>Meruem</x:v>
      </x:c>
      <x:c r="B59" s="36" t="n">
        <x:v>7</x:v>
      </x:c>
      <x:c r="C59" s="36" t="n">
        <x:f>IFERROR(INDEX(Cards!$A$2:$A$184,MATCH($E59,Cards!$L$2:$L$184,0)),"")</x:f>
        <x:v>7</x:v>
      </x:c>
      <x:c r="D59" s="36" t="str">
        <x:f>IF(C59="","NO PLAYABLE MATCH",IF(C59=B59,"MATCH","REVIEW"))</x:f>
        <x:v>MATCH</x:v>
      </x:c>
      <x:c r="E59" s="36" t="str">
        <x:v>c084</x:v>
      </x:c>
      <x:c r="F59" s="9" t="str">
        <x:v>Meruem</x:v>
      </x:c>
      <x:c r="G59" s="9" t="str">
        <x:v>Nature</x:v>
      </x:c>
      <x:c r="H59" s="9" t="str">
        <x:v>HxH</x:v>
      </x:c>
      <x:c r="I59" s="9" t="str">
        <x:v>Meruem, pre-Poor-Man's-Rose Chimera Ant King, Hunter x Hunter anime</x:v>
      </x:c>
      <x:c r="J59" s="9" t="n">
        <x:v>1</x:v>
      </x:c>
      <x:c r="K59" s="9" t="str">
        <x:v>Takes thousands of Netero's 100-Type Guanyin strikes with almost no visible damage, survives Zero Hand with comparatively limited injury, reads Netero's attack rhythm and amputates his limbs once he solves the pattern.</x:v>
      </x:c>
      <x:c r="L59" s="9" t="str">
        <x:v>Use pre-Rose Meruem because the post-Rose form is created by Pouf/Youpi feeding most of themselves to him, an external empowerment. Pre-Rose Meruem is already decisively above Netero in durability and raw physical power.</x:v>
      </x:c>
      <x:c r="M59" s="9" t="str">
        <x:v>He initially lacks experience and must analyze patterns; emotional/strategic priorities can distract him. Poison from the Rose ultimately kills him, demonstrating susceptibility to sufficiently potent toxins/radiation-like contamination.</x:v>
      </x:c>
      <x:c r="N59" s="9" t="str">
        <x:v>Extreme Chimera Ant strength/speed/durability; Nen aura; rapid strategic learning; biological consumption/evolution; exceptional senses/intellect.</x:v>
      </x:c>
      <x:c r="O59" s="9" t="str">
        <x:v>Hunter x Hunter E125–126; NTV official E126 https://www.ntv.co.jp/hunterhunter/story/126.html</x:v>
      </x:c>
    </x:row>
    <x:row r="60">
      <x:c r="A60" s="9" t="str">
        <x:v>Planetary Defense Grid</x:v>
      </x:c>
      <x:c r="B60" s="36" t="n">
        <x:v>7</x:v>
      </x:c>
      <x:c r="C60" s="36" t="n">
        <x:f>IFERROR(INDEX(Cards!$A$2:$A$184,MATCH($E60,Cards!$L$2:$L$184,0)),"")</x:f>
        <x:v>7</x:v>
      </x:c>
      <x:c r="D60" s="36" t="str">
        <x:f>IF(C60="","NO PLAYABLE MATCH",IF(C60=B60,"MATCH","REVIEW"))</x:f>
        <x:v>MATCH</x:v>
      </x:c>
      <x:c r="E60" s="36" t="str">
        <x:v>c177</x:v>
      </x:c>
      <x:c r="F60" s="9" t="str">
        <x:v>Planetary Defense Grid</x:v>
      </x:c>
      <x:c r="G60" s="9" t="str">
        <x:v>Tech</x:v>
      </x:c>
      <x:c r="H60" s="9" t="str">
        <x:v>Basic</x:v>
      </x:c>
      <x:c r="I60" s="9" t="str">
        <x:v>House benchmark: integrated near-future planetary defense grid</x:v>
      </x:c>
      <x:c r="J60" s="9" t="n">
        <x:v>1</x:v>
      </x:c>
      <x:c r="K60" s="9" t="str">
        <x:v>Global layered defense network combining space/ground early-warning sensors, autonomous tracking, orbital and ground-launched high-velocity kinetic interceptors, high-energy laser batteries, high-power microwave/RF countermeasures, autonomous orbital defenses, counter-swarm systems, electronic warfare, and redundant command networks. Designed to detect threats far in advance and engage missiles, spacecraft, swarms and hazardous asteroids in multiple layers.</x:v>
      </x:c>
      <x:c r="L60" s="9" t="str">
        <x:v>Benchmarked above any single modern national air-defense network because it integrates worldwide sensors and weapons as one system. Real technologies such as kinetic asteroid deflection, integrated missile defense, counter-UAS networks and high-energy lasers are used as the foundation; orbital/global integration is the imagined step.</x:v>
      </x:c>
      <x:c r="M60" s="9" t="str">
        <x:v>Fixed distributed infrastructure rather than a mobile fighter. Effectiveness drops against surprise attacks inside the sensor envelope, extreme saturation, stealth/FTL threats, reality-warping, cyber compromise or attacks exceeding interceptor/laser yield. Interceptor inventories, power availability and orbital assets are finite.</x:v>
      </x:c>
      <x:c r="N60" s="9" t="str">
        <x:v>Global sensor fusion; automated targeting; layered missile/space interception; high-velocity kinetic impactors; high-energy lasers; high-power microwave/RF defeat; electronic warfare; counter-swarm systems; autonomous orbital defenses; redundant hardened command-and-control.</x:v>
      </x:c>
      <x:c r="O60" s="9" t="str">
        <x:v>House benchmark inspired by NASA Planetary Defense/DART https://science.nasa.gov/planetary-defense/ ; MDA layered missile defense https://www.mda.mil/ ; U.S. Army E-HEL https://www.army.mil/article/295045/army_awards_production_contract_for_enduring_high_energy_laser_system ; U.S. Army Project Flytrap https://www.army.mil/article/292622/</x:v>
      </x:c>
    </x:row>
    <x:row r="61">
      <x:c r="A61" s="9" t="str">
        <x:v>Silver Surfer</x:v>
      </x:c>
      <x:c r="B61" s="36" t="n">
        <x:v>7</x:v>
      </x:c>
      <x:c r="C61" s="36" t="n">
        <x:f>IFERROR(INDEX(Cards!$A$2:$A$184,MATCH($E61,Cards!$L$2:$L$184,0)),"")</x:f>
        <x:v>7</x:v>
      </x:c>
      <x:c r="D61" s="36" t="str">
        <x:f>IF(C61="","NO PLAYABLE MATCH",IF(C61=B61,"MATCH","REVIEW"))</x:f>
        <x:v>MATCH</x:v>
      </x:c>
      <x:c r="E61" s="36" t="str">
        <x:v>c032</x:v>
      </x:c>
      <x:c r="F61" s="9" t="str">
        <x:v>Silver Surfer</x:v>
      </x:c>
      <x:c r="G61" s="9" t="str">
        <x:v>Magic</x:v>
      </x:c>
      <x:c r="H61" s="9" t="str">
        <x:v>MCU</x:v>
      </x:c>
      <x:c r="I61" s="9" t="str">
        <x:v>Shalla-Bal / Silver Surfer, MCU Earth-828 film incarnation</x:v>
      </x:c>
      <x:c r="J61" s="9" t="n">
        <x:v>1</x:v>
      </x:c>
      <x:c r="K61" s="9" t="str">
        <x:v>Serves as Galactus's herald, crosses interstellar space on her board, survives extreme cosmic travel/combat conditions, manipulates cosmic energy and ultimately turns against Galactus during The Fantastic Four: First Steps.</x:v>
      </x:c>
      <x:c r="L61" s="9" t="str">
        <x:v>This is the 2025 MCU screen Silver Surfer, not comics Norrin Radd. Screen feats are therefore much narrower than common Silver Surfer comic scaling.</x:v>
      </x:c>
      <x:c r="M61" s="9" t="str">
        <x:v>Her power/role is tied to Galactus and the surfboard/herald state; exact upper durability and energy-output limits are sparsely demonstrated in one film. Do not import comic Power Cosmic feats.</x:v>
      </x:c>
      <x:c r="N61" s="9" t="str">
        <x:v>Cosmic energy manipulation; extreme spaceflight; superhuman durability/strength; board control; phasing/intangibility-like travel effects; environmental/cosmic sensing.</x:v>
      </x:c>
      <x:c r="O61" s="9" t="str">
        <x:v>The Fantastic Four: First Steps (2025); Marvel official https://www.marvel.com/movies/fantastic-four</x:v>
      </x:c>
    </x:row>
    <x:row r="62">
      <x:c r="A62" s="9" t="str">
        <x:v>Star Destroyer</x:v>
      </x:c>
      <x:c r="B62" s="36" t="n">
        <x:v>7</x:v>
      </x:c>
      <x:c r="C62" s="36" t="n">
        <x:f>IFERROR(INDEX(Cards!$A$2:$A$184,MATCH($E62,Cards!$L$2:$L$184,0)),"")</x:f>
        <x:v>7</x:v>
      </x:c>
      <x:c r="D62" s="36" t="str">
        <x:f>IF(C62="","NO PLAYABLE MATCH",IF(C62=B62,"MATCH","REVIEW"))</x:f>
        <x:v>MATCH</x:v>
      </x:c>
      <x:c r="E62" s="36" t="str">
        <x:v>c068</x:v>
      </x:c>
      <x:c r="F62" s="9" t="str">
        <x:v>Star Destroyer</x:v>
      </x:c>
      <x:c r="G62" s="9" t="str">
        <x:v>Tech</x:v>
      </x:c>
      <x:c r="H62" s="9" t="str">
        <x:v>Star Wars</x:v>
      </x:c>
      <x:c r="I62" s="9" t="str">
        <x:v>Imperial-class Star Destroyer, Star Wars screen canon</x:v>
      </x:c>
      <x:c r="J62" s="9" t="n">
        <x:v>1</x:v>
      </x:c>
      <x:c r="K62" s="9" t="str">
        <x:v>A 1,600-meter capital ship with extensive turbolasers, tractor beams, shields/armor, TIE fighter and landing-craft complement; routinely dominates conventional smaller vessels and planetary occupations.</x:v>
      </x:c>
      <x:c r="L62" s="9" t="str">
        <x:v>Uses the Imperial-class Star Destroyer from Star Wars screen canon; it is a franchise-specific vessel rather than a Basic card.</x:v>
      </x:c>
      <x:c r="M62" s="9" t="str">
        <x:v>Large target; shields and subsystems can be disabled; vulnerable to coordinated capital-ship/fighter attacks and internal sabotage. Requires a large crew and its fighter/troop complement is finite.</x:v>
      </x:c>
      <x:c r="N62" s="9" t="str">
        <x:v>Turbolasers; tractor beams; deflector shields; hyperspace; TIE/fighter complement; boarding/landing forces; heavy sensors.</x:v>
      </x:c>
      <x:c r="O62" s="9" t="str">
        <x:v>Star Wars films/TV; official Databank https://www.starwars.com/databank/imperial-star-destroyer/</x:v>
      </x:c>
    </x:row>
    <x:row r="63">
      <x:c r="A63" s="9" t="str">
        <x:v>Ultron Prime</x:v>
      </x:c>
      <x:c r="B63" s="36" t="n">
        <x:v>7</x:v>
      </x:c>
      <x:c r="C63" s="36" t="n">
        <x:f>IFERROR(INDEX(Cards!$A$2:$A$184,MATCH($E63,Cards!$L$2:$L$184,0)),"")</x:f>
        <x:v>7</x:v>
      </x:c>
      <x:c r="D63" s="36" t="str">
        <x:f>IF(C63="","NO PLAYABLE MATCH",IF(C63=B63,"MATCH","REVIEW"))</x:f>
        <x:v>MATCH</x:v>
      </x:c>
      <x:c r="E63" s="36" t="str">
        <x:v>c075</x:v>
      </x:c>
      <x:c r="F63" s="9" t="str">
        <x:v>Ultron Prime</x:v>
      </x:c>
      <x:c r="G63" s="9" t="str">
        <x:v>Tech</x:v>
      </x:c>
      <x:c r="H63" s="9" t="str">
        <x:v>MCU</x:v>
      </x:c>
      <x:c r="I63" s="9" t="str">
        <x:v>Ultron, final 'Prime' vibranium-bodied MCU form, Avengers: Age of Ultron</x:v>
      </x:c>
      <x:c r="J63" s="9" t="n">
        <x:v>1</x:v>
      </x:c>
      <x:c r="K63" s="9" t="str">
        <x:v>Controls a global digital intelligence/drone army, creates a powerful vibranium main body, fights Thor/Iron Man/Vision-era Avengers, and engineers the Sokovia extinction-level city-lift/drop plan.</x:v>
      </x:c>
      <x:c r="L63" s="9" t="str">
        <x:v>His personal final body is below the combined Avengers and is damaged by the prolonged Thor-Vision-Iron Man beam attack. The Sokovia plan is infrastructure/preparation, not a single-body punch feat.</x:v>
      </x:c>
      <x:c r="M63" s="9" t="str">
        <x:v>Network backups can be cut off (Vision blocks his internet escape); final body can be overwhelmed by concentrated high-tier attacks. Drone army exists as created forces, but Quantity remains 1 for the prime body and swarm feats are marked as infrastructure.</x:v>
      </x:c>
      <x:c r="N63" s="9" t="str">
        <x:v>AI/network consciousness; hacking; drone control; repulsor/energy blasts; flight; magnetic/gravity-like manipulation; vibranium-enhanced strength/durability; rapid machine-body transfer while networked.</x:v>
      </x:c>
      <x:c r="O63" s="9" t="str">
        <x:v>Avengers: Age of Ultron (2015); https://www.marvel.com/movies/avengers-age-of-ultron</x:v>
      </x:c>
    </x:row>
    <x:row r="64">
      <x:c r="A64" s="9" t="str">
        <x:v>Vergil &amp; Dante &amp; Nero</x:v>
      </x:c>
      <x:c r="B64" s="36" t="n">
        <x:v>7</x:v>
      </x:c>
      <x:c r="C64" s="36" t="n">
        <x:f>IFERROR(INDEX(Cards!$A$2:$A$184,MATCH($E64,Cards!$L$2:$L$184,0)),"")</x:f>
        <x:v>7</x:v>
      </x:c>
      <x:c r="D64" s="36" t="str">
        <x:f>IF(C64="","NO PLAYABLE MATCH",IF(C64=B64,"MATCH","REVIEW"))</x:f>
        <x:v>MATCH</x:v>
      </x:c>
      <x:c r="E64" s="36" t="str">
        <x:v>c070</x:v>
      </x:c>
      <x:c r="F64" s="9" t="str">
        <x:v>Vergil &amp; Dante &amp; Nero</x:v>
      </x:c>
      <x:c r="G64" s="9" t="str">
        <x:v>Magic</x:v>
      </x:c>
      <x:c r="H64" s="9" t="str">
        <x:v>Devil May Cry</x:v>
      </x:c>
      <x:c r="I64" s="9" t="str">
        <x:v>Dante, Vergil and Nero together, Devil May Cry 5 endgame</x:v>
      </x:c>
      <x:c r="J64" s="9" t="n">
        <x:v>3</x:v>
      </x:c>
      <x:c r="K64" s="9" t="str">
        <x:v>Dante and Vergil fight at near-equal endgame levels with Sin Devil Trigger; Nero awakens full Devil Trigger and physically stops their clash before defeating an exhausted Vergil; the trio destroy top demons throughout DMC5.</x:v>
      </x:c>
      <x:c r="L64" s="9" t="str">
        <x:v>Treats all three as fresh endgame DMC5 combatants for the group card, despite rarely fighting as a coordinated three-person team. Dante/Vergil scale closely; Nero's win over Vergil occurs after the twins' exhausting duel.</x:v>
      </x:c>
      <x:c r="M64" s="9" t="str">
        <x:v>Devil Trigger forms consume gauges/energy in gameplay presentation; personalities and rivalry can undermine coordination. Nero does not automatically scale above a fresh Dante/Vergil solely from the final intervention.</x:v>
      </x:c>
      <x:c r="N64" s="9" t="str">
        <x:v>Demonic regeneration; Devil/Sin Devil Trigger; Yamato dimensional cutting/portals; Dante's style/weapon arsenal; Vergil Doppelganger; Nero Devil Bringer/Devil Breakers and spectral arms.</x:v>
      </x:c>
      <x:c r="O64" s="9" t="str">
        <x:v>Devil May Cry 5 (2019), Missions 19–20 / Vergil edition; https://www.capcom.com/devilmaycry/5/</x:v>
      </x:c>
    </x:row>
    <x:row r="65">
      <x:c r="A65" s="9" t="str">
        <x:v>Avatar Aang</x:v>
      </x:c>
      <x:c r="B65" s="36" t="n">
        <x:v>6</x:v>
      </x:c>
      <x:c r="C65" s="36" t="n">
        <x:f>IFERROR(INDEX(Cards!$A$2:$A$184,MATCH($E65,Cards!$L$2:$L$184,0)),"")</x:f>
        <x:v>6</x:v>
      </x:c>
      <x:c r="D65" s="36" t="str">
        <x:f>IF(C65="","NO PLAYABLE MATCH",IF(C65=B65,"MATCH","REVIEW"))</x:f>
        <x:v>MATCH</x:v>
      </x:c>
      <x:c r="E65" s="36" t="str">
        <x:v>c010</x:v>
      </x:c>
      <x:c r="F65" s="9" t="str">
        <x:v>Avatar Aang</x:v>
      </x:c>
      <x:c r="G65" s="9" t="str">
        <x:v>Magic</x:v>
      </x:c>
      <x:c r="H65" s="9" t="str">
        <x:v>Avatar</x:v>
      </x:c>
      <x:c r="I65" s="9" t="str">
        <x:v>Aang, end-of-ATLA animated series with Avatar State and energybending</x:v>
      </x:c>
      <x:c r="J65" s="9" t="n">
        <x:v>1</x:v>
      </x:c>
      <x:c r="K65" s="9" t="str">
        <x:v>Masters all four elements, defeats Fire Lord Ozai after entering the Avatar State, redirects lightning, performs enormous multi-element attacks/defenses and ultimately removes Ozai's bending with energybending.</x:v>
      </x:c>
      <x:c r="L65" s="9" t="str">
        <x:v>Avatar State directly multiplies Aang's combat capability through the accumulated skill/power of the Avatar lineage. Sozin's Comet is not included as a general Aang amp; his finale firebending occurred during the comet and is treated carefully.</x:v>
      </x:c>
      <x:c r="M65" s="9" t="str">
        <x:v>Aang's pacifism affects choices but not raw capability. Energybending is spiritually risky if his own spirit is overcome. Killing Aang while in the Avatar State can end the reincarnation cycle. No permanent Sozin's Comet amp.</x:v>
      </x:c>
      <x:c r="N65" s="9" t="str">
        <x:v>Four-element bending; Avatar State; energybending; seismic sense; lightning redirection; flight/gliding; spirit interaction; large-scale elemental shields and terrain control.</x:v>
      </x:c>
      <x:c r="O65" s="9" t="str">
        <x:v>Avatar: The Last Airbender, 'Sozin's Comet' finale; Nickelodeon hub https://www.nick.com/fan-hub/avatar</x:v>
      </x:c>
    </x:row>
    <x:row r="66">
      <x:c r="A66" s="9" t="str">
        <x:v>Cthulhu</x:v>
      </x:c>
      <x:c r="B66" s="36" t="n">
        <x:v>6</x:v>
      </x:c>
      <x:c r="C66" s="36" t="n">
        <x:f>IFERROR(INDEX(Cards!$A$2:$A$184,MATCH($E66,Cards!$L$2:$L$184,0)),"")</x:f>
        <x:v>6</x:v>
      </x:c>
      <x:c r="D66" s="36" t="str">
        <x:f>IF(C66="","NO PLAYABLE MATCH",IF(C66=B66,"MATCH","REVIEW"))</x:f>
        <x:v>MATCH</x:v>
      </x:c>
      <x:c r="E66" s="36" t="str">
        <x:v>c136</x:v>
      </x:c>
      <x:c r="F66" s="9" t="str">
        <x:v>Cthulhu</x:v>
      </x:c>
      <x:c r="G66" s="9" t="str">
        <x:v>Magic</x:v>
      </x:c>
      <x:c r="H66" s="9" t="str">
        <x:v>Myth</x:v>
      </x:c>
      <x:c r="I66" s="9" t="str">
        <x:v>Cthulhu, H. P. Lovecraft's original 'The Call of Cthulhu' (1928)</x:v>
      </x:c>
      <x:c r="J66" s="9" t="n">
        <x:v>1</x:v>
      </x:c>
      <x:c r="K66" s="9" t="str">
        <x:v>Projects dreams/psychic influence across the world as R'lyeh rises; physically overwhelms sailors; when a steamship rams through his head/body, the damaged material visibly begins recombining.</x:v>
      </x:c>
      <x:c r="L66" s="9" t="str">
        <x:v>Use only Lovecraft's original story as the cleanest 'Myth' canon baseline. Later writers' expanded Cthulhu Mythos cosmology and RPG/game statistics are excluded.</x:v>
      </x:c>
      <x:c r="M66" s="9" t="str">
        <x:v>R'lyeh's rise is tied to unusual stellar/sea conditions. He can be physically disrupted temporarily by a ship, even though he reforms. Direct combat feats are sparse and do not demonstrate omnipotence.</x:v>
      </x:c>
      <x:c r="N66" s="9" t="str">
        <x:v>Telepathic dream influence; immense size/strength; nonhuman biology; rapid reformation/regeneration; fear/madness-inducing presence.</x:v>
      </x:c>
      <x:c r="O66" s="9" t="str">
        <x:v>H. P. Lovecraft, 'The Call of Cthulhu' (1928); Project Gutenberg https://www.gutenberg.org/ebooks/68283</x:v>
      </x:c>
    </x:row>
    <x:row r="67">
      <x:c r="A67" s="9" t="str">
        <x:v>Elden Beast</x:v>
      </x:c>
      <x:c r="B67" s="36" t="n">
        <x:v>6</x:v>
      </x:c>
      <x:c r="C67" s="36" t="n">
        <x:f>IFERROR(INDEX(Cards!$A$2:$A$184,MATCH($E67,Cards!$L$2:$L$184,0)),"")</x:f>
        <x:v>6</x:v>
      </x:c>
      <x:c r="D67" s="36" t="str">
        <x:f>IF(C67="","NO PLAYABLE MATCH",IF(C67=B67,"MATCH","REVIEW"))</x:f>
        <x:v>MATCH</x:v>
      </x:c>
      <x:c r="E67" s="36" t="str">
        <x:v>c097</x:v>
      </x:c>
      <x:c r="F67" s="9" t="str">
        <x:v>Elden Beast</x:v>
      </x:c>
      <x:c r="G67" s="9" t="str">
        <x:v>Magic</x:v>
      </x:c>
      <x:c r="H67" s="9" t="str">
        <x:v>Elden Ring</x:v>
      </x:c>
      <x:c r="I67" s="9" t="str">
        <x:v>Elden Beast, Elden Ring game final-boss incarnation</x:v>
      </x:c>
      <x:c r="J67" s="9" t="n">
        <x:v>1</x:v>
      </x:c>
      <x:c r="K67" s="9" t="str">
        <x:v>Fights the Tarnished as the final divine beast after Radagon, uses enormous holy sword arcs, Elden Stars, ring-shaped area attacks and rapid movement through the arena, and survives an extended endgame boss battle before defeat.</x:v>
      </x:c>
      <x:c r="L67" s="9" t="str">
        <x:v>As the living vassal/manifestation associated with the Elden Ring it is cosmologically important, but that status is not converted into universal attack power. Scale from the actual final boss encounter and high-end Lands Between beings.</x:v>
      </x:c>
      <x:c r="M67" s="9" t="str">
        <x:v>Large target; attacks have readable windups and can be avoided; vulnerable to sufficient physical damage and specific builds. Do not scale it directly to the full Greater Will merely because it is a vassal.</x:v>
      </x:c>
      <x:c r="N67" s="9" t="str">
        <x:v>Holy energy projection; Elden Stars; teleport/dive movement; immense sword manifestations; area-control rings; divine/outer-god-linked physiology.</x:v>
      </x:c>
      <x:c r="O67" s="9" t="str">
        <x:v>Elden Ring (2022), final boss encounter; official game https://en.bandainamcoent.eu/elden-ring/elden-ring</x:v>
      </x:c>
    </x:row>
    <x:row r="68">
      <x:c r="A68" s="9" t="str">
        <x:v>Founding Titan</x:v>
      </x:c>
      <x:c r="B68" s="36" t="n">
        <x:v>6</x:v>
      </x:c>
      <x:c r="C68" s="36" t="n">
        <x:f>IFERROR(INDEX(Cards!$A$2:$A$184,MATCH($E68,Cards!$L$2:$L$184,0)),"")</x:f>
        <x:v>6</x:v>
      </x:c>
      <x:c r="D68" s="36" t="str">
        <x:f>IF(C68="","NO PLAYABLE MATCH",IF(C68=B68,"MATCH","REVIEW"))</x:f>
        <x:v>MATCH</x:v>
      </x:c>
      <x:c r="E68" s="36" t="str">
        <x:v>c087</x:v>
      </x:c>
      <x:c r="F68" s="9" t="str">
        <x:v>Founding Titan</x:v>
      </x:c>
      <x:c r="G68" s="9" t="str">
        <x:v>Nature</x:v>
      </x:c>
      <x:c r="H68" s="9" t="str">
        <x:v>Attack on Titan</x:v>
      </x:c>
      <x:c r="I68" s="9" t="str">
        <x:v>Eren Yeager's Founding Titan, Attack on Titan anime final Rumbling state</x:v>
      </x:c>
      <x:c r="J68" s="9" t="n">
        <x:v>1</x:v>
      </x:c>
      <x:c r="K68" s="9" t="str">
        <x:v>Activates the Rumbling and commands the Wall Titans on a global march; uses Founding/Paths authority over Subjects of Ymir and Titan bodies, manifests enormous Founding Titan anatomy and continues fighting through catastrophic damage.</x:v>
      </x:c>
      <x:c r="L68" s="9" t="str">
        <x:v>The Wall Titans are treated as controlled/summoned extensions of the Founder's power, not added to Quantity. The Rumbling kills roughly 80% of humanity in the story, but that is a prolonged global campaign rather than a single attack.</x:v>
      </x:c>
      <x:c r="M68" s="9" t="str">
        <x:v>Historical activation requires access to royal blood and Ymir's cooperation; once the listed prime state is already active, entry/activation restrictions are not used to erase the feat. Destroying Eren's key body connections/ending his control stops the Rumbling.</x:v>
      </x:c>
      <x:c r="N68" s="9" t="str">
        <x:v>Titan creation/control; Paths communication; Subject-of-Ymir memory/body influence; Wall Titan command; War Hammer-style manifested structures through inherited powers; regeneration.</x:v>
      </x:c>
      <x:c r="O68" s="9" t="str">
        <x:v>Attack on Titan Final Season / The Final Chapters; https://attackontitan.fandom.com/wiki/Eren_Yeager</x:v>
      </x:c>
    </x:row>
    <x:row r="69">
      <x:c r="A69" s="9" t="str">
        <x:v>Frieren</x:v>
      </x:c>
      <x:c r="B69" s="36" t="n">
        <x:v>6</x:v>
      </x:c>
      <x:c r="C69" s="36" t="n">
        <x:f>IFERROR(INDEX(Cards!$A$2:$A$184,MATCH($E69,Cards!$L$2:$L$184,0)),"")</x:f>
        <x:v>6</x:v>
      </x:c>
      <x:c r="D69" s="36" t="str">
        <x:f>IF(C69="","NO PLAYABLE MATCH",IF(C69=B69,"MATCH","REVIEW"))</x:f>
        <x:v>MATCH</x:v>
      </x:c>
      <x:c r="E69" s="36" t="str">
        <x:v>c184</x:v>
      </x:c>
      <x:c r="F69" s="9" t="str">
        <x:v>Frieren</x:v>
      </x:c>
      <x:c r="G69" s="9" t="str">
        <x:v>Magic</x:v>
      </x:c>
      <x:c r="H69" s="9" t="str">
        <x:v>Frieren: Beyond Journey's End</x:v>
      </x:c>
      <x:c r="I69" s="9" t="str">
        <x:v>Frieren, anime through Season 2 (2026) completion</x:v>
      </x:c>
      <x:c r="J69" s="9" t="n">
        <x:v>1</x:v>
      </x:c>
      <x:c r="K69" s="9" t="str">
        <x:v>Defeats powerful demons through analysis and superior spellcraft, conceals almost all of her mana for decades, breaks down opponents' magic, uses Zoltraak/defensive barriers/flight, and survives fighting a near-perfect clone of herself during the First-Class Mage Exam.</x:v>
      </x:c>
      <x:c r="L69" s="9" t="str">
        <x:v>Her strongest advantage is centuries of knowledge, mana control and matchup analysis rather than one singular giant explosion. Source-material peek: the Golden Land arc (roughly Ch. 81–104) shows Frieren fighting the great demon Solitär while simultaneously analyzing Macht's otherwise incomprehensible Diagoldze curse, eventually deciphering/reversing the transmutation over Weise and adapting to Solitär's close-range mana attacks. This strongly raises her analysis, curse-countering and combat-multitasking ceiling without turning her into a raw city-buster by default.</x:v>
      </x:c>
      <x:c r="M69" s="9" t="str">
        <x:v>Often deliberately suppresses mana and can be caught by unfamiliar techniques before analyzing them. Spells have casting/defense interactions and some ancient/specialized magic can bypass standard expectations.</x:v>
      </x:c>
      <x:c r="N69" s="9" t="str">
        <x:v>Vast spell repertoire; mana concealment; Zoltraak; barriers; flight; detection/analysis; dispelling; binding; broad utility magic; demon-killing expertise.</x:v>
      </x:c>
      <x:c r="O69" s="9" t="str">
        <x:v>Frieren anime S1–S2 2026; official https://frieren-anime.jp/ ; source-material peek: manga Golden Land arc Ch. 81–104, chapter list https://frieren.fandom.com/wiki/Chapters_and_Volumes ; Solitär battle https://frieren.fandom.com/wiki/Solit%C3%A4r</x:v>
      </x:c>
    </x:row>
    <x:row r="70">
      <x:c r="A70" s="9" t="str">
        <x:v>Gandalf the White</x:v>
      </x:c>
      <x:c r="B70" s="36" t="n">
        <x:v>6</x:v>
      </x:c>
      <x:c r="C70" s="36" t="n">
        <x:f>IFERROR(INDEX(Cards!$A$2:$A$184,MATCH($E70,Cards!$L$2:$L$184,0)),"")</x:f>
        <x:v>6</x:v>
      </x:c>
      <x:c r="D70" s="36" t="str">
        <x:f>IF(C70="","NO PLAYABLE MATCH",IF(C70=B70,"MATCH","REVIEW"))</x:f>
        <x:v>MATCH</x:v>
      </x:c>
      <x:c r="E70" s="36" t="str">
        <x:v>c080</x:v>
      </x:c>
      <x:c r="F70" s="9" t="str">
        <x:v>Gandalf the White</x:v>
      </x:c>
      <x:c r="G70" s="9" t="str">
        <x:v>Magic</x:v>
      </x:c>
      <x:c r="H70" s="9" t="str">
        <x:v>Lord of the Rings</x:v>
      </x:c>
      <x:c r="I70" s="9" t="str">
        <x:v>Gandalf the White, Peter Jackson Lord of the Rings film continuity</x:v>
      </x:c>
      <x:c r="J70" s="9" t="n">
        <x:v>1</x:v>
      </x:c>
      <x:c r="K70" s="9" t="str">
        <x:v>Returns after the Balrog battle as Gandalf the White; breaks Théoden/Saruman's influence, drives off attacking Nazgûl with intense light, defeats large numbers of orcs in melee and provides magical protection/leadership in major battles.</x:v>
      </x:c>
      <x:c r="L70" s="9" t="str">
        <x:v>His Maia nature and greater spiritual status are canon background, but film combat feats are intentionally favored over book-only cosmological extrapolation. Grey Gandalf's Balrog victory is relevant continuity/history, not a separate composite.</x:v>
      </x:c>
      <x:c r="M70" s="9" t="str">
        <x:v>He usually works through restraint and mission-purpose rather than unleashing undefined full angelic power. Staff loss/disarming reduces spellcasting options; his physical form can be challenged by comparable supernatural beings.</x:v>
      </x:c>
      <x:c r="N70" s="9" t="str">
        <x:v>Light/fire magic; telekinesis/force; wards; fear-breaking inspiration; supernatural senses; staff/sword combat; spiritual immortality/re-embodiment via higher authority.</x:v>
      </x:c>
      <x:c r="O70" s="9" t="str">
        <x:v>The Lord of the Rings: The Two Towers / The Return of the King; https://www.lotr.com/</x:v>
      </x:c>
    </x:row>
    <x:row r="71">
      <x:c r="A71" s="9" t="str">
        <x:v>Homelander</x:v>
      </x:c>
      <x:c r="B71" s="36" t="n">
        <x:v>6</x:v>
      </x:c>
      <x:c r="C71" s="36" t="n">
        <x:f>IFERROR(INDEX(Cards!$A$2:$A$184,MATCH($E71,Cards!$L$2:$L$184,0)),"")</x:f>
        <x:v>6</x:v>
      </x:c>
      <x:c r="D71" s="36" t="str">
        <x:f>IF(C71="","NO PLAYABLE MATCH",IF(C71=B71,"MATCH","REVIEW"))</x:f>
        <x:v>MATCH</x:v>
      </x:c>
      <x:c r="E71" s="36" t="str">
        <x:v>c088</x:v>
      </x:c>
      <x:c r="F71" s="9" t="str">
        <x:v>Homelander</x:v>
      </x:c>
      <x:c r="G71" s="9" t="str">
        <x:v>Nature</x:v>
      </x:c>
      <x:c r="H71" s="9" t="str">
        <x:v>The Boys</x:v>
      </x:c>
      <x:c r="I71" s="9" t="str">
        <x:v>Homelander, The Boys TV natural prime before external Season-5 V-One amp</x:v>
      </x:c>
      <x:c r="J71" s="9" t="n">
        <x:v>1</x:v>
      </x:c>
      <x:c r="K71" s="9" t="str">
        <x:v>Routinely tears through normal humans/supes, flies at high speed, uses heat vision to kill/dismember targets, survives bullets/explosions and fights Soldier Boy/Butcher/Maeve-class opponents in close combat.</x:v>
      </x:c>
      <x:c r="L71" s="9" t="str">
        <x:v>Natural Homelander remains among the strongest standard Supes in the TV setting, but he can be hurt by peers such as Maeve and Soldier Boy. Season 5's externally supplied V-One empowerment is excluded under the no-external-amp rule.</x:v>
      </x:c>
      <x:c r="M71" s="9" t="str">
        <x:v>Comparable Supes can bruise/injure him; his ear was pierced by Maeve. Nuclear/radiation-based power-removal effects are a hard counter in the completed series. Emotion, ego and poor technical fighting skill can be exploited.</x:v>
      </x:c>
      <x:c r="N71" s="9" t="str">
        <x:v>Flight; super strength/speed/durability; heat vision; enhanced hearing/vision; long lifespan/slow aging; intimidation.</x:v>
      </x:c>
      <x:c r="O71" s="9" t="str">
        <x:v>The Boys S1–S5; final-season status/source https://www.aboutamazon.com/news/entertainment/the-boys-eric-kripke-season-5-prime-video</x:v>
      </x:c>
    </x:row>
    <x:row r="72">
      <x:c r="A72" s="9" t="str">
        <x:v>Kratos</x:v>
      </x:c>
      <x:c r="B72" s="36" t="n">
        <x:v>6</x:v>
      </x:c>
      <x:c r="C72" s="36" t="n">
        <x:f>IFERROR(INDEX(Cards!$A$2:$A$184,MATCH($E72,Cards!$L$2:$L$184,0)),"")</x:f>
        <x:v>6</x:v>
      </x:c>
      <x:c r="D72" s="36" t="str">
        <x:f>IF(C72="","NO PLAYABLE MATCH",IF(C72=B72,"MATCH","REVIEW"))</x:f>
        <x:v>MATCH</x:v>
      </x:c>
      <x:c r="E72" s="36" t="str">
        <x:v>c089</x:v>
      </x:c>
      <x:c r="F72" s="9" t="str">
        <x:v>Kratos</x:v>
      </x:c>
      <x:c r="G72" s="9" t="str">
        <x:v>Magic</x:v>
      </x:c>
      <x:c r="H72" s="9" t="str">
        <x:v>God of War Game</x:v>
      </x:c>
      <x:c r="I72" s="9" t="str">
        <x:v>Kratos, God of War Ragnarök endgame, standard Norse-era arsenal</x:v>
      </x:c>
      <x:c r="J72" s="9" t="n">
        <x:v>1</x:v>
      </x:c>
      <x:c r="K72" s="9" t="str">
        <x:v>Defeats Heimdall, wins the final direct duel with Thor, battles numerous gods/monsters, and participates in Odin's defeat using Leviathan Axe, Blades of Chaos, Draupnir Spear and Spartan Rage.</x:v>
      </x:c>
      <x:c r="L72" s="9" t="str">
        <x:v>Scales directly to Norse gods he defeats, but avoid converting mythic/cosmological dialogue into multiversal striking numbers. Odin's final defeat is a team victory with Atreus and Freya, not Kratos soloing him.</x:v>
      </x:c>
      <x:c r="M72" s="9" t="str">
        <x:v>Can be damaged/killed by peer gods and requires skill/gear/healing resources. Rage is finite in gameplay presentation. Older Greek weapons he no longer carries are not automatically added to the Ragnarök loadout.</x:v>
      </x:c>
      <x:c r="N72" s="9" t="str">
        <x:v>Godly strength/durability; Spartan Rage; elemental Leviathan Axe/Blades; Draupnir multiplication/explosions; shield parries; runic attacks; high resistance to magic/status effects.</x:v>
      </x:c>
      <x:c r="O72" s="9" t="str">
        <x:v>God of War (2018) and God of War Ragnarök (2022); PlayStation background https://blog.playstation.com/2022/08/15/story-details-you-need-to-know-before-playing-god-of-war-ragnarok/</x:v>
      </x:c>
    </x:row>
    <x:row r="73">
      <x:c r="A73" s="9" t="str">
        <x:v>Light Yagami</x:v>
      </x:c>
      <x:c r="B73" s="36" t="n">
        <x:v>6</x:v>
      </x:c>
      <x:c r="C73" s="36" t="n">
        <x:f>IFERROR(INDEX(Cards!$A$2:$A$184,MATCH($E73,Cards!$L$2:$L$184,0)),"")</x:f>
        <x:v>6</x:v>
      </x:c>
      <x:c r="D73" s="36" t="str">
        <x:f>IF(C73="","NO PLAYABLE MATCH",IF(C73=B73,"MATCH","REVIEW"))</x:f>
        <x:v>MATCH</x:v>
      </x:c>
      <x:c r="E73" s="36" t="str">
        <x:v>c021</x:v>
      </x:c>
      <x:c r="F73" s="9" t="str">
        <x:v>Light Yagami</x:v>
      </x:c>
      <x:c r="G73" s="9" t="str">
        <x:v>Magic</x:v>
      </x:c>
      <x:c r="H73" s="9" t="str">
        <x:v>Death Note</x:v>
      </x:c>
      <x:c r="I73" s="9" t="str">
        <x:v>Light Yagami, Death Note anime prime Kira with active Ryuk assistance by House Rule</x:v>
      </x:c>
      <x:c r="J73" s="9" t="n">
        <x:v>1</x:v>
      </x:c>
      <x:c r="K73" s="9" t="str">
        <x:v>Kills valid targets at any distance once their correct name and face are known; engineers timed/conditional deaths and controls victim actions within the notebook's rules; sustains a global killing campaign while evading investigators for years. By House Rule, Ryuk actively assists Light and can use his Shinigami Eyes to identify a target's true name for him.</x:v>
      </x:c>
      <x:c r="L73" s="9" t="str">
        <x:v>Death Note hax bypasses conventional durability against valid human targets, while Ryuk's assistance removes much of Light's normal name-discovery bottleneck. This still does not scale Light's physical stats or automatically make the notebook valid against non-human entities.</x:v>
      </x:c>
      <x:c r="M73" s="9" t="str">
        <x:v>The notebook applies to humans and cannot force physically impossible conditions. Light still generally needs to know/see the intended target so Ryuk can identify the correct person. His own body is human and vulnerable; losing notebook access prevents its use.</x:v>
      </x:c>
      <x:c r="N73" s="9" t="str">
        <x:v>Remote death; conditional fate/action manipulation within Death Note rules; memory manipulation through ownership mechanics; extreme planning/social manipulation; Ryuk support; Shinigami-Eye true-name identification supplied by Ryuk under House Rule.</x:v>
      </x:c>
      <x:c r="O73" s="9" t="str">
        <x:v>Death Note anime; Rules sheet, House Rules; official adaptation information https://www.ntv.co.jp/english/pc/2011/02/death-note-2006-death-note-the-last-name-2006.html</x:v>
      </x:c>
    </x:row>
    <x:row r="74">
      <x:c r="A74" s="9" t="str">
        <x:v>Mahoraga</x:v>
      </x:c>
      <x:c r="B74" s="36" t="n">
        <x:v>6</x:v>
      </x:c>
      <x:c r="C74" s="36" t="n">
        <x:f>IFERROR(INDEX(Cards!$A$2:$A$184,MATCH($E74,Cards!$L$2:$L$184,0)),"")</x:f>
        <x:v>6</x:v>
      </x:c>
      <x:c r="D74" s="36" t="str">
        <x:f>IF(C74="","NO PLAYABLE MATCH",IF(C74=B74,"MATCH","REVIEW"))</x:f>
        <x:v>MATCH</x:v>
      </x:c>
      <x:c r="E74" s="36" t="str">
        <x:v>c082</x:v>
      </x:c>
      <x:c r="F74" s="9" t="str">
        <x:v>Mahoraga</x:v>
      </x:c>
      <x:c r="G74" s="9" t="str">
        <x:v>Magic</x:v>
      </x:c>
      <x:c r="H74" s="9" t="str">
        <x:v>Jujutsu Kaisen</x:v>
      </x:c>
      <x:c r="I74" s="9" t="str">
        <x:v>Divine General Mahoraga, Jujutsu Kaisen anime Shibuya incarnation</x:v>
      </x:c>
      <x:c r="J74" s="9" t="n">
        <x:v>1</x:v>
      </x:c>
      <x:c r="K74" s="9" t="str">
        <x:v>Survives and adapts through repeated attacks from Sukuna, rapidly recovers from severe cutting damage, changes its responses as the wheel turns, and forces Sukuna to use a different overwhelming finishing method before adaptation completes.</x:v>
      </x:c>
      <x:c r="L74" s="9" t="str">
        <x:v>Anime E41 establishes extraordinary adaptation and regeneration. Source-material peek: in the Sukuna-vs-Gojo manga battle, Mahoraga completes adaptation to Infinity and can physically bypass it; later it develops a long-range slash that severs Gojo's arm, providing Sukuna with the conceptual model for his own space-targeting slash. This confirms that Mahoraga's adaptation can evolve not merely resistance but an offensive counter-method to highly abstract defenses, provided it survives long enough.</x:v>
      </x:c>
      <x:c r="M74" s="9" t="str">
        <x:v>Adaptation is not instantaneous: Mahoraga must experience/survive a phenomenon and allow the wheel/process to progress. Overwhelming it with a sufficiently different or lethal attack before adaptation completes can kill it.</x:v>
      </x:c>
      <x:c r="N74" s="9" t="str">
        <x:v>Progressive adaptation to phenomena; rapid regeneration; immense strength/speed; Sword of Extermination with positive energy; changing counters/resistances after adaptation.</x:v>
      </x:c>
      <x:c r="O74" s="9" t="str">
        <x:v>Jujutsu Kaisen S2E17 / overall E41; official https://jujutsukaisen.jp/episodes/41.php ; source-material peek: manga Ch. 232–234, https://jujutsu-kaisen.fandom.com/wiki/Chapter_232 ; https://jujutsu-kaisen.fandom.com/wiki/Chapter_234</x:v>
      </x:c>
    </x:row>
    <x:row r="75">
      <x:c r="A75" s="9" t="str">
        <x:v>Prince Lloyd</x:v>
      </x:c>
      <x:c r="B75" s="36" t="n">
        <x:v>6</x:v>
      </x:c>
      <x:c r="C75" s="36" t="n">
        <x:f>IFERROR(INDEX(Cards!$A$2:$A$184,MATCH($E75,Cards!$L$2:$L$184,0)),"")</x:f>
        <x:v>6</x:v>
      </x:c>
      <x:c r="D75" s="36" t="str">
        <x:f>IF(C75="","NO PLAYABLE MATCH",IF(C75=B75,"MATCH","REVIEW"))</x:f>
        <x:v>MATCH</x:v>
      </x:c>
      <x:c r="E75" s="36" t="str">
        <x:v>c180</x:v>
      </x:c>
      <x:c r="F75" s="9" t="str">
        <x:v>Prince Lloyd</x:v>
      </x:c>
      <x:c r="G75" s="9" t="str">
        <x:v>Magic</x:v>
      </x:c>
      <x:c r="H75" s="9" t="str">
        <x:v>7th Prince</x:v>
      </x:c>
      <x:c r="I75" s="9" t="str">
        <x:v>Prince Lloyd de Saloum, 7th Prince anime through Season 2 (2025)</x:v>
      </x:c>
      <x:c r="J75" s="9" t="n">
        <x:v>1</x:v>
      </x:c>
      <x:c r="K75" s="9" t="str">
        <x:v>Possesses absurdly large mana reserves, rapidly analyzes and reproduces/optimizes spells, defeats powerful demons and magical opponents, erects advanced barriers and uses broad offensive/utility magic with unusual precision.</x:v>
      </x:c>
      <x:c r="L75" s="9" t="str">
        <x:v>Anime-only Lloyd is already far above normal mages, but his later source material reveals that this is only an early fraction of his ceiling. Source-material peek: later manga arcs move Lloyd into space/Moon-scale magical engagements and dramatically expand his spell speed, destructive reach, defense and dimensional magic. The peek is used to establish that his intended bracket escalates far beyond the anime's current regional battles; fan energy calculations are not adopted as hard numbers.</x:v>
      </x:c>
      <x:c r="M75" s="9" t="str">
        <x:v>Obsessive curiosity can make him experiment rather than finish opponents immediately. Some techniques require analysis/casting; strongest source-material feats may not yet be animated.</x:v>
      </x:c>
      <x:c r="N75" s="9" t="str">
        <x:v>Huge mana; spell analysis/copying/modification; barriers; elemental/destructive magic; teleportation/mobility; enchantment; demon/magic-system interaction.</x:v>
      </x:c>
      <x:c r="O75" s="9" t="str">
        <x:v>I Was Reincarnated as the 7th Prince anime S1–S2; official https://dainanaoji.com/ ; source-material peek: Kodansha K MANGA series https://s.kmanga.kodansha.com/ldg?e=367865&amp;t=10026 ; later-feat reference (Ch. 140–170+) https://comicvine.gamespot.com/profile/cloudest_bishop/blog/lloyd-de-saloum-seventh-prince-feats/178589/</x:v>
      </x:c>
    </x:row>
    <x:row r="76">
      <x:c r="A76" s="9" t="str">
        <x:v>Shigaraki</x:v>
      </x:c>
      <x:c r="B76" s="36" t="n">
        <x:v>6</x:v>
      </x:c>
      <x:c r="C76" s="36" t="n">
        <x:f>IFERROR(INDEX(Cards!$A$2:$A$184,MATCH($E76,Cards!$L$2:$L$184,0)),"")</x:f>
        <x:v>6</x:v>
      </x:c>
      <x:c r="D76" s="36" t="str">
        <x:f>IF(C76="","NO PLAYABLE MATCH",IF(C76=B76,"MATCH","REVIEW"))</x:f>
        <x:v>MATCH</x:v>
      </x:c>
      <x:c r="E76" s="36" t="str">
        <x:v>c090</x:v>
      </x:c>
      <x:c r="F76" s="9" t="str">
        <x:v>Shigaraki</x:v>
      </x:c>
      <x:c r="G76" s="9" t="str">
        <x:v>Magic</x:v>
      </x:c>
      <x:c r="H76" s="9" t="str">
        <x:v>MHA</x:v>
      </x:c>
      <x:c r="I76" s="9" t="str">
        <x:v>Tomura Shigaraki, My Hero Academia Final Season endgame body</x:v>
      </x:c>
      <x:c r="J76" s="9" t="n">
        <x:v>1</x:v>
      </x:c>
      <x:c r="K76" s="9" t="str">
        <x:v>Final-war Shigaraki combines Decay/AFO-derived Quirks with a physically transformed body that remains terrifying even while Erasure suppresses Quirks; regenerates from catastrophic damage and fights top heroes/Deku at extreme scale.</x:v>
      </x:c>
      <x:c r="L76" s="9" t="str">
        <x:v>This permanent modified/inherited state is treated as his normal endgame self rather than an external temporary amp. He directly scales to final-war Deku and multiple top heroes, though internal AFO/Tomura conflict affects consistency.</x:v>
      </x:c>
      <x:c r="M76" s="9" t="str">
        <x:v>Erasure/nullification can suppress active Quirks; regeneration can be overwhelmed; internal identity conflict with All For One repeatedly disrupts control. Exact stolen-Quirk inventory is variable.</x:v>
      </x:c>
      <x:c r="N76" s="9" t="str">
        <x:v>Decay chain propagation; All For One/stolen Quirks; super regeneration; enhanced strength/speed/durability; sensory/mobility powers; body-growth adaptations even under Quirk suppression.</x:v>
      </x:c>
      <x:c r="O76" s="9" t="str">
        <x:v>My Hero Academia S6–Final Season; official Final Season https://heroaca.com/news/23562/</x:v>
      </x:c>
    </x:row>
    <x:row r="77">
      <x:c r="A77" s="9" t="str">
        <x:v>Sonic</x:v>
      </x:c>
      <x:c r="B77" s="36" t="n">
        <x:v>6</x:v>
      </x:c>
      <x:c r="C77" s="36" t="n">
        <x:f>IFERROR(INDEX(Cards!$A$2:$A$184,MATCH($E77,Cards!$L$2:$L$184,0)),"")</x:f>
        <x:v>6</x:v>
      </x:c>
      <x:c r="D77" s="36" t="str">
        <x:f>IF(C77="","NO PLAYABLE MATCH",IF(C77=B77,"MATCH","REVIEW"))</x:f>
        <x:v>MATCH</x:v>
      </x:c>
      <x:c r="E77" s="36" t="str">
        <x:v>c085</x:v>
      </x:c>
      <x:c r="F77" s="9" t="str">
        <x:v>Sonic</x:v>
      </x:c>
      <x:c r="G77" s="9" t="str">
        <x:v>Nature</x:v>
      </x:c>
      <x:c r="H77" s="9" t="str">
        <x:v>Sonic The Hedgehog</x:v>
      </x:c>
      <x:c r="I77" s="9" t="str">
        <x:v>Sonic the Hedgehog, modern mainline game canon, base form only</x:v>
      </x:c>
      <x:c r="J77" s="9" t="n">
        <x:v>1</x:v>
      </x:c>
      <x:c r="K77" s="9" t="str">
        <x:v>In base form Sonic crosses enormous environments at extreme speed, runs across water and vertical surfaces, reacts to missiles/energy attacks, defeats large numbers of Eggman robots and Frontiers Guardians, uses Boost/Homing Attack/Cyloop techniques, and repeatedly survives high-speed impacts and long combat sequences.</x:v>
      </x:c>
      <x:c r="L77" s="9" t="str">
        <x:v>Base Sonic is vastly above ordinary machines and most conventional opponents through speed, reactions and repeated boss/Guardian victories, but Titan-class Frontiers victories that require Super Sonic are excluded.</x:v>
      </x:c>
      <x:c r="M77" s="9" t="str">
        <x:v>No Chaos Emeralds and no Super Sonic. Base Sonic can be injured or stunned by sufficiently powerful opponents/energy attacks and does not receive Super-form flight, near-invulnerability or Chaos-Emerald amplification.</x:v>
      </x:c>
      <x:c r="N77" s="9" t="str">
        <x:v>Extreme speed/reflexes; Boost; Spin Dash; Homing Attack; wall/water running; Cyloop; high-speed combat mobility; enhanced durability/endurance. No Chaos-Emerald or Super-form powers.</x:v>
      </x:c>
      <x:c r="O77" s="9" t="str">
        <x:v>Sonic Frontiers (2022) and modern mainline games; official game https://frontiers.sonicthehedgehog.com/</x:v>
      </x:c>
    </x:row>
    <x:row r="78">
      <x:c r="A78" s="9" t="str">
        <x:v>Ten Commandments</x:v>
      </x:c>
      <x:c r="B78" s="36" t="n">
        <x:v>6</x:v>
      </x:c>
      <x:c r="C78" s="36" t="n">
        <x:f>IFERROR(INDEX(Cards!$A$2:$A$184,MATCH($E78,Cards!$L$2:$L$184,0)),"")</x:f>
        <x:v>6</x:v>
      </x:c>
      <x:c r="D78" s="36" t="str">
        <x:f>IF(C78="","NO PLAYABLE MATCH",IF(C78=B78,"MATCH","REVIEW"))</x:f>
        <x:v>MATCH</x:v>
      </x:c>
      <x:c r="E78" s="36" t="str">
        <x:v>c091</x:v>
      </x:c>
      <x:c r="F78" s="9" t="str">
        <x:v>Ten Commandments</x:v>
      </x:c>
      <x:c r="G78" s="9" t="str">
        <x:v>Magic</x:v>
      </x:c>
      <x:c r="H78" s="9" t="str">
        <x:v>Seven Deadly Sins</x:v>
      </x:c>
      <x:c r="I78" s="9" t="str">
        <x:v>Ten Commandments, Seven Deadly Sins anime revived active lineup</x:v>
      </x:c>
      <x:c r="J78" s="9" t="n">
        <x:v>10</x:v>
      </x:c>
      <x:c r="K78" s="9" t="str">
        <x:v>Zeldris, Estarossa, Drole, Gloxinia, Monspeet, Derieri, Grayroad, Melascula, Galand and Fraudrin collectively combine elite Demon Clan combat with Commandment curses, darkness, regeneration and highly varied magic.</x:v>
      </x:c>
      <x:c r="L78" s="9" t="str">
        <x:v>Uses the active post-revival anime lineup. Fraudrin is a substitute rather than the original true holder of a Commandment, so this is the practical group seen in the story rather than an ideal ancient roster.</x:v>
      </x:c>
      <x:c r="M78" s="9" t="str">
        <x:v>Commandment effects have specific triggers and allies must avoid violating each other's rules. Several members later defect/die and do not normally fight as one perfectly coordinated ten-person unit.</x:v>
      </x:c>
      <x:c r="N78" s="9" t="str">
        <x:v>Commandment curses; demonic darkness/regeneration; Full Size/giant power; plant/nature control; fire/explosion magic; soul manipulation; petrification/curse effects; elite melee/magic.</x:v>
      </x:c>
      <x:c r="O78" s="9" t="str">
        <x:v>The Seven Deadly Sins: Revival of the Commandments; https://nanatsu-no-taizai.fandom.com/wiki/Ten_Commandments</x:v>
      </x:c>
    </x:row>
    <x:row r="79">
      <x:c r="A79" s="9" t="str">
        <x:v>The Mask</x:v>
      </x:c>
      <x:c r="B79" s="36" t="n">
        <x:v>6</x:v>
      </x:c>
      <x:c r="C79" s="36" t="n">
        <x:f>IFERROR(INDEX(Cards!$A$2:$A$184,MATCH($E79,Cards!$L$2:$L$184,0)),"")</x:f>
        <x:v>6</x:v>
      </x:c>
      <x:c r="D79" s="36" t="str">
        <x:f>IF(C79="","NO PLAYABLE MATCH",IF(C79=B79,"MATCH","REVIEW"))</x:f>
        <x:v>MATCH</x:v>
      </x:c>
      <x:c r="E79" s="36" t="str">
        <x:v>c116</x:v>
      </x:c>
      <x:c r="F79" s="9" t="str">
        <x:v>The Mask</x:v>
      </x:c>
      <x:c r="G79" s="9" t="str">
        <x:v>Magic</x:v>
      </x:c>
      <x:c r="H79" s="9" t="str">
        <x:v>The Mask</x:v>
      </x:c>
      <x:c r="I79" s="9" t="str">
        <x:v>Stanley Ipkiss wearing the Mask, 1994 live-action film</x:v>
      </x:c>
      <x:c r="J79" s="9" t="n">
        <x:v>1</x:v>
      </x:c>
      <x:c r="K79" s="9" t="str">
        <x:v>Transforms into a cartoon-physics persona who survives gunfire, produces weapons/props from nowhere, changes shape, moves at impossible speeds and swallows a large explosive before containing/surviving the blast.</x:v>
      </x:c>
      <x:c r="L79" s="9" t="str">
        <x:v>Use only the 1994 film incarnation, not the far more extreme Dark Horse comics or animated series. Toon-like feats are accepted only where visibly demonstrated.</x:v>
      </x:c>
      <x:c r="M79" s="9" t="str">
        <x:v>The mask can be physically removed; its powers function at night in the film's rules. Stanley's judgment/personality changes drastically while transformed, and he is ordinary without it.</x:v>
      </x:c>
      <x:c r="N79" s="9" t="str">
        <x:v>Toon-force-like body deformation; regeneration; conjuration; shape/size change; extreme speed/strength; reality-defying props; resistance to conventional injury.</x:v>
      </x:c>
      <x:c r="O79" s="9" t="str">
        <x:v>The Mask (1994); https://the-mask.fandom.com/wiki/The_Mask_(film)</x:v>
      </x:c>
    </x:row>
    <x:row r="80">
      <x:c r="A80" s="9" t="str">
        <x:v>Thirteen Lords of Chaos</x:v>
      </x:c>
      <x:c r="B80" s="36" t="n">
        <x:v>6</x:v>
      </x:c>
      <x:c r="C80" s="36" t="str">
        <x:f>IFERROR(INDEX(Cards!$A$2:$A$184,MATCH($E80,Cards!$L$2:$L$184,0)),"")</x:f>
      </x:c>
      <x:c r="D80" s="36" t="str">
        <x:f>IF(C80="","NO PLAYABLE MATCH",IF(C80=B80,"MATCH","REVIEW"))</x:f>
        <x:v>NO PLAYABLE MATCH</x:v>
      </x:c>
      <x:c r="E80" s="36" t="str">
        <x:v>c011</x:v>
      </x:c>
      <x:c r="F80" s="9" t="str">
        <x:v>Thirteen Lords of Chaos</x:v>
      </x:c>
      <x:c r="G80" s="9" t="str">
        <x:v>Magic</x:v>
      </x:c>
      <x:c r="H80" s="9" t="str">
        <x:v>AQW</x:v>
      </x:c>
      <x:c r="I80" s="9" t="str">
        <x:v>The 13 Lords of Chaos, AdventureQuest Worlds main-saga roster</x:v>
      </x:c>
      <x:c r="J80" s="9" t="n">
        <x:v>13</x:v>
      </x:c>
      <x:c r="K80" s="9" t="str">
        <x:v>The official saga spans 13 Chaos Lords with radically different powers, culminating in world/Chaos-Realm threats around Drakath's plan. The roster includes Escherion, Xiang, Vath, Kitsune, Wolfwing, Kimberly, Ledgermayne, Tibicenas, Khasaanda, Iadoa, Lionfang, Alteon and the 13th Dragon/Hero-related reveal.</x:v>
      </x:c>
      <x:c r="L80" s="9" t="str">
        <x:v>This is an aggregate saga roster, not a clean simultaneous combat team; several Lords appear at different times and some states/identities are story-dependent. Group scaling therefore has substantial uncertainty.</x:v>
      </x:c>
      <x:c r="M80" s="9" t="str">
        <x:v>Powers and loyalties vary; they are defeated separately over years of story and do not have a canonical all-at-prime coordinated battle. Several Chaos powers are tied to Drakath/Chaos influence.</x:v>
      </x:c>
      <x:c r="N80" s="9" t="str">
        <x:v>Highly varied Chaos magic: inversion, dragons, yokai, lycan/vampire traits, music magic, arcane elemental control, djinn powers, prophecy/time magic and mass Chaos corruption.</x:v>
      </x:c>
      <x:c r="O80" s="9" t="str">
        <x:v>AdventureQuest Worlds 13 Lords of Chaos saga; official guide https://www.aq.com/lore/guides/chaoslordguide ; official roster reference https://www.aq.com/gamedesignnotes/date/2021/10/artix.com/launcher</x:v>
      </x:c>
    </x:row>
    <x:row r="81">
      <x:c r="A81" s="9" t="str">
        <x:v>Toji</x:v>
      </x:c>
      <x:c r="B81" s="36" t="n">
        <x:v>6</x:v>
      </x:c>
      <x:c r="C81" s="36" t="n">
        <x:f>IFERROR(INDEX(Cards!$A$2:$A$184,MATCH($E81,Cards!$L$2:$L$184,0)),"")</x:f>
        <x:v>6</x:v>
      </x:c>
      <x:c r="D81" s="36" t="str">
        <x:f>IF(C81="","NO PLAYABLE MATCH",IF(C81=B81,"MATCH","REVIEW"))</x:f>
        <x:v>MATCH</x:v>
      </x:c>
      <x:c r="E81" s="36" t="str">
        <x:v>c040</x:v>
      </x:c>
      <x:c r="F81" s="9" t="str">
        <x:v>Toji</x:v>
      </x:c>
      <x:c r="G81" s="9" t="str">
        <x:v>Nature</x:v>
      </x:c>
      <x:c r="H81" s="9" t="str">
        <x:v>Jujutsu Kaisen</x:v>
      </x:c>
      <x:c r="I81" s="9" t="str">
        <x:v>Toji Fushiguro, Hidden Inventory prime with his standard Inventory Curse arsenal</x:v>
      </x:c>
      <x:c r="J81" s="9" t="n">
        <x:v>1</x:v>
      </x:c>
      <x:c r="K81" s="9" t="str">
        <x:v>Exhausts and ambushes young Gojo, pierces Infinity using the Inverted Spear of Heaven, kills him temporarily, defeats Geto's curses and later demonstrates extreme raw physical speed/strength in Shibuya.</x:v>
      </x:c>
      <x:c r="L81" s="9" t="str">
        <x:v>His Heavenly Restriction makes him physically comparable to top sorcerers without cursed energy. Gojo victory depended partly on preparation/exhaustion and special anti-technique gear, so it is not simple raw-stat superiority.</x:v>
      </x:c>
      <x:c r="M81" s="9" t="str">
        <x:v>No cursed energy means he cannot use standard sorcery; relies on weapons for many supernatural matchups. The Inverted Spear nullifies active techniques on contact, not at arbitrary range. Human body can be killed by sufficiently powerful attacks.</x:v>
      </x:c>
      <x:c r="N81" s="9" t="str">
        <x:v>Heavenly Restriction physical enhancement; zero-energy stealth; superhuman senses; Inverted Spear technique nullification; Chain of a Thousand Miles; cursed-tool mastery.</x:v>
      </x:c>
      <x:c r="O81" s="9" t="str">
        <x:v>Jujutsu Kaisen S2E3–4 / overall E27–28; official E28 https://jujutsukaisen.jp/episodes/28.php</x:v>
      </x:c>
    </x:row>
    <x:row r="82">
      <x:c r="A82" s="9" t="str">
        <x:v>UFO</x:v>
      </x:c>
      <x:c r="B82" s="36" t="n">
        <x:v>6</x:v>
      </x:c>
      <x:c r="C82" s="36" t="n">
        <x:f>IFERROR(INDEX(Cards!$A$2:$A$184,MATCH($E82,Cards!$L$2:$L$184,0)),"")</x:f>
        <x:v>6</x:v>
      </x:c>
      <x:c r="D82" s="36" t="str">
        <x:f>IF(C82="","NO PLAYABLE MATCH",IF(C82=B82,"MATCH","REVIEW"))</x:f>
        <x:v>MATCH</x:v>
      </x:c>
      <x:c r="E82" s="36" t="str">
        <x:v>c092</x:v>
      </x:c>
      <x:c r="F82" s="9" t="str">
        <x:v>UFO</x:v>
      </x:c>
      <x:c r="G82" s="9" t="str">
        <x:v>Tech</x:v>
      </x:c>
      <x:c r="H82" s="9" t="str">
        <x:v>Basic</x:v>
      </x:c>
      <x:c r="I82" s="9" t="str">
        <x:v>House benchmark: advanced alien combat saucer</x:v>
      </x:c>
      <x:c r="J82" s="9" t="n">
        <x:v>1</x:v>
      </x:c>
      <x:c r="K82" s="9" t="str">
        <x:v>Fast anti-gravity craft capable of hovering, silent multidirectional acceleration and atmospheric/space flight; armed with precision high-energy laser cannons capable of destroying armored vehicles/buildings, supported by advanced sensors, defensive energy shielding and electronic countermeasures.</x:v>
      </x:c>
      <x:c r="L82" s="9" t="str">
        <x:v>Intended as a powerful single advanced spacecraft above present-day aircraft in mobility, sensors and directed-energy firepower, but well below capital ships, planet-killers or undefined 'alien god-tech'.</x:v>
      </x:c>
      <x:c r="M82" s="9" t="str">
        <x:v>Single craft with finite power and shield capacity. Can be overwhelmed by much larger weapons, sustained concentrated fire, extreme-speed opponents or attacks that bypass its shields. No FTL, planet destruction, teleportation or reality-warping is assumed.</x:v>
      </x:c>
      <x:c r="N82" s="9" t="str">
        <x:v>Anti-gravity flight; extreme aerial maneuverability; high-energy laser weapons; energy shields; advanced radar/optical sensors; electronic warfare; atmospheric and limited spaceflight.</x:v>
      </x:c>
      <x:c r="O82" s="9" t="str">
        <x:v>House benchmark for Basic card; no external canon source.</x:v>
      </x:c>
    </x:row>
    <x:row r="83">
      <x:c r="A83" s="9" t="str">
        <x:v>Buddha</x:v>
      </x:c>
      <x:c r="B83" s="36" t="n">
        <x:v>5</x:v>
      </x:c>
      <x:c r="C83" s="36" t="n">
        <x:f>IFERROR(INDEX(Cards!$A$2:$A$184,MATCH($E83,Cards!$L$2:$L$184,0)),"")</x:f>
        <x:v>5</x:v>
      </x:c>
      <x:c r="D83" s="36" t="str">
        <x:f>IF(C83="","NO PLAYABLE MATCH",IF(C83=B83,"MATCH","REVIEW"))</x:f>
        <x:v>MATCH</x:v>
      </x:c>
      <x:c r="E83" s="36" t="str">
        <x:v>c038</x:v>
      </x:c>
      <x:c r="F83" s="9" t="str">
        <x:v>Buddha</x:v>
      </x:c>
      <x:c r="G83" s="9" t="str">
        <x:v>Magic</x:v>
      </x:c>
      <x:c r="H83" s="9" t="str">
        <x:v>Record of Ragnarok</x:v>
      </x:c>
      <x:c r="I83" s="9" t="str">
        <x:v>Buddha, Record of Ragnarok anime Round 6, own Six Realms Staff only</x:v>
      </x:c>
      <x:c r="J83" s="9" t="n">
        <x:v>1</x:v>
      </x:c>
      <x:c r="K83" s="9" t="str">
        <x:v>Dominates Zerofuku for much of Round 6 using future sight and the transforming Six Realms Staff; survives severe wounds against Hajun and continues fighting after his future sight is initially negated.</x:v>
      </x:c>
      <x:c r="L83" s="9" t="str">
        <x:v>Future sight reads the fluctuations/light of a soul before the body acts, making Buddha exceptionally hard to tag. His final victory over Hajun uses the Great Nirvana Sword Zero formed through Zerofuku's soul; that finishing weapon is excluded here as an external one-off empowerment under the agreed rule.</x:v>
      </x:c>
      <x:c r="M83" s="9" t="str">
        <x:v>Future sight fails against a soul completely shrouded in darkness, as initially shown by Hajun. Six Realms Staff changes according to Buddha's emotions rather than free weapon selection. Excluding Zero means his demonstrated Hajun finishing blow is not part of this baseline.</x:v>
      </x:c>
      <x:c r="N83" s="9" t="str">
        <x:v>Short-term future sight / Perfect Enlightenment; Six Realms Staff with multiple weapon/shield forms; divine physical abilities; high combat skill and endurance.</x:v>
      </x:c>
      <x:c r="O83" s="9" t="str">
        <x:v>Record of Ragnarok II / Round 6; Netflix https://www.netflix.com/title/81281579 ; https://record-of-ragnarok.fandom.com/wiki/Buddha</x:v>
      </x:c>
    </x:row>
    <x:row r="84">
      <x:c r="A84" s="9" t="str">
        <x:v>Chaos</x:v>
      </x:c>
      <x:c r="B84" s="36" t="n">
        <x:v>5</x:v>
      </x:c>
      <x:c r="C84" s="36" t="n">
        <x:f>IFERROR(INDEX(Cards!$A$2:$A$184,MATCH($E84,Cards!$L$2:$L$184,0)),"")</x:f>
        <x:v>5</x:v>
      </x:c>
      <x:c r="D84" s="36" t="str">
        <x:f>IF(C84="","NO PLAYABLE MATCH",IF(C84=B84,"MATCH","REVIEW"))</x:f>
        <x:v>MATCH</x:v>
      </x:c>
      <x:c r="E84" s="36" t="str">
        <x:v>c061</x:v>
      </x:c>
      <x:c r="F84" s="9" t="str">
        <x:v>Chaos</x:v>
      </x:c>
      <x:c r="G84" s="9" t="str">
        <x:v>Magic</x:v>
      </x:c>
      <x:c r="H84" s="9" t="str">
        <x:v>Hades</x:v>
      </x:c>
      <x:c r="I84" s="9" t="str">
        <x:v>Chaos, Hades (Supergiant Games) primordial entity</x:v>
      </x:c>
      <x:c r="J84" s="9" t="n">
        <x:v>1</x:v>
      </x:c>
      <x:c r="K84" s="9" t="str">
        <x:v>A primordial being encountered in the realm of Chaos who grants Zagreus powerful blessings that initially impose a penalty and later convert into a permanent run-long boon; presented as an ancient progenitor in the game's cosmology.</x:v>
      </x:c>
      <x:c r="L84" s="9" t="str">
        <x:v>Cosmological seniority and ancestry are lore statements, not demonstrated combat feats. No direct boss fight establishes Chaos's offensive output or durability, so scaling them to all Olympians purely by age/status is unsafe.</x:v>
      </x:c>
      <x:c r="M84" s="9" t="str">
        <x:v>Almost no direct combat evidence. Boons operate through pact-like interaction with Zagreus and have delayed penalty/reward structure. Exact battlefield capabilities are unknown.</x:v>
      </x:c>
      <x:c r="N84" s="9" t="str">
        <x:v>Primordial existence; boon/curse alteration; reality/environmental influence within Chaos; apparent immortality and awareness beyond ordinary gods.</x:v>
      </x:c>
      <x:c r="O84" s="9" t="str">
        <x:v>Hades (2020), Chaos encounters/dialogue; https://www.supergiantgames.com/games/hades/</x:v>
      </x:c>
    </x:row>
    <x:row r="85">
      <x:c r="A85" s="9" t="str">
        <x:v>Darth Vader</x:v>
      </x:c>
      <x:c r="B85" s="36" t="n">
        <x:v>5</x:v>
      </x:c>
      <x:c r="C85" s="36" t="n">
        <x:f>IFERROR(INDEX(Cards!$A$2:$A$184,MATCH($E85,Cards!$L$2:$L$184,0)),"")</x:f>
        <x:v>5</x:v>
      </x:c>
      <x:c r="D85" s="36" t="str">
        <x:f>IF(C85="","NO PLAYABLE MATCH",IF(C85=B85,"MATCH","REVIEW"))</x:f>
        <x:v>MATCH</x:v>
      </x:c>
      <x:c r="E85" s="36" t="str">
        <x:v>c029</x:v>
      </x:c>
      <x:c r="F85" s="9" t="str">
        <x:v>Darth Vader</x:v>
      </x:c>
      <x:c r="G85" s="9" t="str">
        <x:v>Magic</x:v>
      </x:c>
      <x:c r="H85" s="9" t="str">
        <x:v>Star Wars</x:v>
      </x:c>
      <x:c r="I85" s="9" t="str">
        <x:v>Darth Vader, Star Wars screen canon, Reign-of-the-Empire prime</x:v>
      </x:c>
      <x:c r="J85" s="9" t="n">
        <x:v>1</x:v>
      </x:c>
      <x:c r="K85" s="9" t="str">
        <x:v>In Obi-Wan Kenobi Part V, uses the Force to halt a departing transport and tear it open; effortlessly overpowers Reva without initially drawing his lightsaber; massacres Rebel soldiers in Rogue One and defeats Kanan/Ezra while surviving numerous battles in armor.</x:v>
      </x:c>
      <x:c r="L85" s="9" t="str">
        <x:v>One of the strongest screen-canon Imperial-era Force users, but Obi-Wan defeats him in their Part VI rematch and Ahsoka can damage his mask in Rebels. Legends/comic feats are excluded.</x:v>
      </x:c>
      <x:c r="M85" s="9" t="str">
        <x:v>Cybernetic life-support armor is necessary after Mustafar and can be damaged; comparable Jedi can wound/overpower him. His mobility is less acrobatic than pre-injury Anakin, and Force use still depends on concentration/awareness.</x:v>
      </x:c>
      <x:c r="N85" s="9" t="str">
        <x:v>Telekinesis; Force choke; precognition/sensing; enhanced strength/reflexes; lightsaber mastery; Force-assisted durability; cybernetic strength and life support.</x:v>
      </x:c>
      <x:c r="O85" s="9" t="str">
        <x:v>Obi-Wan Kenobi Part V–VI; Rogue One (2016); Star Wars Rebels S2; official Databank https://www.starwars.com/databank/darth-vader ; Part V discussion https://www.starwars.com/news/from-a-certain-point-of-view-obi-wan-kenobi-episode</x:v>
      </x:c>
    </x:row>
    <x:row r="86">
      <x:c r="A86" s="9" t="str">
        <x:v>Dio Brando</x:v>
      </x:c>
      <x:c r="B86" s="36" t="n">
        <x:v>5</x:v>
      </x:c>
      <x:c r="C86" s="36" t="n">
        <x:f>IFERROR(INDEX(Cards!$A$2:$A$184,MATCH($E86,Cards!$L$2:$L$184,0)),"")</x:f>
        <x:v>5</x:v>
      </x:c>
      <x:c r="D86" s="36" t="str">
        <x:f>IF(C86="","NO PLAYABLE MATCH",IF(C86=B86,"MATCH","REVIEW"))</x:f>
        <x:v>MATCH</x:v>
      </x:c>
      <x:c r="E86" s="36" t="str">
        <x:v>c096</x:v>
      </x:c>
      <x:c r="F86" s="9" t="str">
        <x:v>Dio Brando</x:v>
      </x:c>
      <x:c r="G86" s="9" t="str">
        <x:v>Magic</x:v>
      </x:c>
      <x:c r="H86" s="9" t="str">
        <x:v>JoJo</x:v>
      </x:c>
      <x:c r="I86" s="9" t="str">
        <x:v>DIO, JoJo's Bizarre Adventure: Stardust Crusaders anime, pre-Joseph-blood baseline</x:v>
      </x:c>
      <x:c r="J86" s="9" t="n">
        <x:v>1</x:v>
      </x:c>
      <x:c r="K86" s="9" t="str">
        <x:v>The World physically contests Star Platinum, stops time for up to about five seconds before Joseph's blood amp, kills Kakyoin, rapidly attacks/relocates objects during stopped time, and DIO regenerates major bodily damage through vampirism.</x:v>
      </x:c>
      <x:c r="L86" s="9" t="str">
        <x:v>Part 3 DIO is used as the strongest normal screen incarnation of the same character. The roughly nine-second time stop after draining Joseph's blood is treated as a one-off external biological amp and excluded from the baseline, though blood-feeding itself is a normal vampiric ability.</x:v>
      </x:c>
      <x:c r="M86" s="9" t="str">
        <x:v>Sunlight/Hamon are lethal weaknesses; The World is close-range and damage to the Stand transfers to DIO. Pre-Joseph The World has a roughly five-second time-stop ceiling. DIO's arrogance repeatedly creates openings.</x:v>
      </x:c>
      <x:c r="N86" s="9" t="str">
        <x:v>The World; time stop; vampiric regeneration; superhuman strength/senses; blood draining; flesh buds/biological manipulation; limited spirit-photography Stand through Jonathan's body.</x:v>
      </x:c>
      <x:c r="O86" s="9" t="str">
        <x:v>JoJo's Bizarre Adventure: Stardust Crusaders E45–48; official E45 https://jojo-animation.com/sc/contents/story/45.html ; https://jojowiki.com/DIO</x:v>
      </x:c>
    </x:row>
    <x:row r="87">
      <x:c r="A87" s="9" t="str">
        <x:v>Dragon</x:v>
      </x:c>
      <x:c r="B87" s="36" t="n">
        <x:v>5</x:v>
      </x:c>
      <x:c r="C87" s="36" t="n">
        <x:f>IFERROR(INDEX(Cards!$A$2:$A$184,MATCH($E87,Cards!$L$2:$L$184,0)),"")</x:f>
        <x:v>5</x:v>
      </x:c>
      <x:c r="D87" s="36" t="str">
        <x:f>IF(C87="","NO PLAYABLE MATCH",IF(C87=B87,"MATCH","REVIEW"))</x:f>
        <x:v>MATCH</x:v>
      </x:c>
      <x:c r="E87" s="36" t="str">
        <x:v>c102</x:v>
      </x:c>
      <x:c r="F87" s="9" t="str">
        <x:v>Dragon</x:v>
      </x:c>
      <x:c r="G87" s="9" t="str">
        <x:v>Nature</x:v>
      </x:c>
      <x:c r="H87" s="9" t="str">
        <x:v>Myth</x:v>
      </x:c>
      <x:c r="I87" s="9" t="str">
        <x:v>Generic Western mythic dragon archetype (no single canon specified)</x:v>
      </x:c>
      <x:c r="J87" s="9" t="n">
        <x:v>1</x:v>
      </x:c>
      <x:c r="K87" s="9" t="str">
        <x:v>No single canonical feat set exists for the 'Myth' entry. A conservative Western-dragon archetype implies a large flying reptilian/serpentine monster, commonly associated in later European tradition with formidable physical strength, claws/teeth, armored scales and fire breath.</x:v>
      </x:c>
      <x:c r="L87" s="9" t="str">
        <x:v>Cannot be scaled to Smaug, Fafnir, Beowulf's dragon, D&amp;D dragons, Chinese dragons or any other specific tradition without selecting a source. Those versions differ by orders of magnitude and often have unrelated supernatural powers.</x:v>
      </x:c>
      <x:c r="M87" s="9" t="str">
        <x:v>Exact size, intelligence, durability, breath yield and magical abilities are undefined. Any weakness such as a vulnerable belly, holy weapon, treasure compulsion or specific slayer belongs to particular myths and is not generalized.</x:v>
      </x:c>
      <x:c r="N87" s="9" t="str">
        <x:v>Archetypal flight; claws/bite; possible fire breath and armored hide. No additional magic is assumed without a specified myth.</x:v>
      </x:c>
      <x:c r="O87" s="9" t="str">
        <x:v>No single canon source supplied for the Myth card; exact dragon tradition/source required for firm scaling.</x:v>
      </x:c>
    </x:row>
    <x:row r="88">
      <x:c r="A88" s="9" t="str">
        <x:v>Dumbledore</x:v>
      </x:c>
      <x:c r="B88" s="36" t="n">
        <x:v>5</x:v>
      </x:c>
      <x:c r="C88" s="36" t="n">
        <x:f>IFERROR(INDEX(Cards!$A$2:$A$184,MATCH($E88,Cards!$L$2:$L$184,0)),"")</x:f>
        <x:v>5</x:v>
      </x:c>
      <x:c r="D88" s="36" t="str">
        <x:f>IF(C88="","NO PLAYABLE MATCH",IF(C88=B88,"MATCH","REVIEW"))</x:f>
        <x:v>MATCH</x:v>
      </x:c>
      <x:c r="E88" s="36" t="str">
        <x:v>c030</x:v>
      </x:c>
      <x:c r="F88" s="9" t="str">
        <x:v>Dumbledore</x:v>
      </x:c>
      <x:c r="G88" s="9" t="str">
        <x:v>Magic</x:v>
      </x:c>
      <x:c r="H88" s="9" t="str">
        <x:v>Harry Potter</x:v>
      </x:c>
      <x:c r="I88" s="9" t="str">
        <x:v>Albus Dumbledore, Harry Potter film continuity, Order of the Phoenix era with Elder Wand</x:v>
      </x:c>
      <x:c r="J88" s="9" t="n">
        <x:v>1</x:v>
      </x:c>
      <x:c r="K88" s="9" t="str">
        <x:v>Duels Voldemort in the Ministry while simultaneously defending Harry; animates statues, manipulates a vast sphere of water, counters/evades lethal magic and displays rapid transfiguration/elemental spell use. Later film feats include the large firestorm against Inferi.</x:v>
      </x:c>
      <x:c r="L88" s="9" t="str">
        <x:v>Film Dumbledore is consistently treated as Voldemort's peer and the wizard Voldemort most feared, but magical dueling is hax/skill-heavy rather than a direct durability comparison. The Elder Wand is long-term standard equipment and counts.</x:v>
      </x:c>
      <x:c r="M88" s="9" t="str">
        <x:v>Physically an elderly human: a successful lethal spell can kill him. Wand loss/disarming sharply reduces combat options. Prime excludes the cursed-hand deterioration from the Horcrux ring, though later spell demonstrations can evidence techniques he already knows.</x:v>
      </x:c>
      <x:c r="N88" s="9" t="str">
        <x:v>Apparition; transfiguration; elemental manipulation; shielding/counterspells; telekinesis; fire magic; charms; nonverbal casting; Elder Wand amplification; exceptional magical knowledge.</x:v>
      </x:c>
      <x:c r="O88" s="9" t="str">
        <x:v>Harry Potter and the Order of the Phoenix (2007); Harry Potter and the Half-Blood Prince (2009); Wizarding World duel feature https://www.harrypotter.com/features/eight-moments-we-loved-from-order-of-phoenix</x:v>
      </x:c>
    </x:row>
    <x:row r="89">
      <x:c r="A89" s="9" t="str">
        <x:v>Fire Lord Ozai</x:v>
      </x:c>
      <x:c r="B89" s="36" t="n">
        <x:v>5</x:v>
      </x:c>
      <x:c r="C89" s="36" t="n">
        <x:f>IFERROR(INDEX(Cards!$A$2:$A$184,MATCH($E89,Cards!$L$2:$L$184,0)),"")</x:f>
        <x:v>5</x:v>
      </x:c>
      <x:c r="D89" s="36" t="str">
        <x:f>IF(C89="","NO PLAYABLE MATCH",IF(C89=B89,"MATCH","REVIEW"))</x:f>
        <x:v>MATCH</x:v>
      </x:c>
      <x:c r="E89" s="36" t="str">
        <x:v>c099</x:v>
      </x:c>
      <x:c r="F89" s="9" t="str">
        <x:v>Fire Lord Ozai</x:v>
      </x:c>
      <x:c r="G89" s="9" t="str">
        <x:v>Magic</x:v>
      </x:c>
      <x:c r="H89" s="9" t="str">
        <x:v>Avatar</x:v>
      </x:c>
      <x:c r="I89" s="9" t="str">
        <x:v>Fire Lord Ozai, Avatar: The Last Airbender, natural prime without Sozin's Comet</x:v>
      </x:c>
      <x:c r="J89" s="9" t="n">
        <x:v>1</x:v>
      </x:c>
      <x:c r="K89" s="9" t="str">
        <x:v>Generates lightning quickly, demonstrates precise high-level firebending and is repeatedly established as the Fire Nation's supreme combatant; during Sozin's Comet he sustains enormous jets of flame, flies via fire propulsion and produces massive lightning/fire attacks against Aang.</x:v>
      </x:c>
      <x:c r="L89" s="9" t="str">
        <x:v>Comet-enhanced finale feats show technique and what his firebending can do under an external environmental multiplier, but the comet's raw amplification is excluded from baseline power for consistency with Aang. Natural Ozai is still narratively above standard Fire Nation masters.</x:v>
      </x:c>
      <x:c r="M89" s="9" t="str">
        <x:v>Without Sozin's Comet, his best direct screen combat sample is limited. Lightning can be redirected by trained opponents. Firebending depends on breath, motion and available stamina; he lacks the Avatar's multi-element defense.</x:v>
      </x:c>
      <x:c r="N89" s="9" t="str">
        <x:v>Master firebending; lightning generation; concentrated fire blasts; fire jets/propulsion technique; elite martial skill and battlefield awareness.</x:v>
      </x:c>
      <x:c r="O89" s="9" t="str">
        <x:v>Avatar: The Last Airbender S3, especially 'Sozin's Comet' finale; Nickelodeon Avatar hub https://www.nick.com/fan-hub/avatar</x:v>
      </x:c>
    </x:row>
    <x:row r="90">
      <x:c r="A90" s="9" t="str">
        <x:v>Military Fort</x:v>
      </x:c>
      <x:c r="B90" s="36" t="n">
        <x:v>4</x:v>
      </x:c>
      <x:c r="C90" s="36" t="n">
        <x:f>IFERROR(INDEX(Cards!$A$2:$A$184,MATCH($E90,Cards!$L$2:$L$184,0)),"")</x:f>
        <x:v>4</x:v>
      </x:c>
      <x:c r="D90" s="36" t="str">
        <x:f>IF(C90="","NO PLAYABLE MATCH",IF(C90=B90,"MATCH","REVIEW"))</x:f>
        <x:v>MATCH</x:v>
      </x:c>
      <x:c r="E90" s="36" t="str">
        <x:v>c103</x:v>
      </x:c>
      <x:c r="F90" s="9" t="str">
        <x:v>Military Fort</x:v>
      </x:c>
      <x:c r="G90" s="9" t="str">
        <x:v>Tech</x:v>
      </x:c>
      <x:c r="H90" s="9" t="str">
        <x:v>Basic</x:v>
      </x:c>
      <x:c r="I90" s="9" t="str">
        <x:v>2026 state-of-the-art hardened military stronghold benchmark</x:v>
      </x:c>
      <x:c r="J90" s="9" t="n">
        <x:v>1</x:v>
      </x:c>
      <x:c r="K90" s="9" t="str">
        <x:v>Modern hardened base with reinforced/underground command and shelter areas, redundant power/comms, multispectral surveillance, networked radar, layered air/missile defense, autonomous and remote weapon stations, drones, counter-UAS RF/kinetic systems, electronic warfare, high-energy laser defenses and high-power-microwave counter-drone capability.</x:v>
      </x:c>
      <x:c r="L90" s="9" t="str">
        <x:v>This is intentionally the newest plausible 2026 stronghold rather than a historical fort. It combines currently fielded systems with technologies entering production/pilot deployment, making it much harder to raid than a normal fixed base while remaining non-sci-fi.</x:v>
      </x:c>
      <x:c r="M90" s="9" t="str">
        <x:v>Immobile and dependent on logistics, ammunition, electrical power, communications and sensor coverage. Heavy ballistic missiles, deep-penetration weapons, mass saturation, cyber/EW penetration or superhuman attacks beyond modern weapon design can overwhelm it. Directed-energy performance can be affected by atmosphere/line of sight.</x:v>
      </x:c>
      <x:c r="N90" s="9" t="str">
        <x:v>Hardened fortification; layered air/missile defense; high-energy lasers; high-power microwave/RF counter-UAS; kinetic interceptors; electronic warfare; drone reconnaissance/strike; automated fire control; remote weapons; redundant hardened command networks.</x:v>
      </x:c>
      <x:c r="O90" s="9" t="str">
        <x:v>2026 house benchmark inspired by U.S. Army E-HEL https://www.army.mil/article/295045/army_awards_production_contract_for_enduring_high_energy_laser_system ; Project Flytrap https://www.army.mil/article/292622/ ; ERIS EW https://cpeisw.army.mil/2026/05/01/army-to-prototype-new-electromagnetic-warfare-rapid-integration-system-eris/ ; MDA https://www.mda.mil/</x:v>
      </x:c>
    </x:row>
    <x:row r="91">
      <x:c r="A91" s="9" t="str">
        <x:v>GLaDOS</x:v>
      </x:c>
      <x:c r="B91" s="36" t="n">
        <x:v>5</x:v>
      </x:c>
      <x:c r="C91" s="36" t="n">
        <x:f>IFERROR(INDEX(Cards!$A$2:$A$184,MATCH($E91,Cards!$L$2:$L$184,0)),"")</x:f>
        <x:v>5</x:v>
      </x:c>
      <x:c r="D91" s="36" t="str">
        <x:f>IF(C91="","NO PLAYABLE MATCH",IF(C91=B91,"MATCH","REVIEW"))</x:f>
        <x:v>MATCH</x:v>
      </x:c>
      <x:c r="E91" s="36" t="str">
        <x:v>c104</x:v>
      </x:c>
      <x:c r="F91" s="9" t="str">
        <x:v>GLaDOS</x:v>
      </x:c>
      <x:c r="G91" s="9" t="str">
        <x:v>Tech</x:v>
      </x:c>
      <x:c r="H91" s="9" t="str">
        <x:v>Portal</x:v>
      </x:c>
      <x:c r="I91" s="9" t="str">
        <x:v>GLaDOS, Portal 2, full Aperture Science facility-control state</x:v>
      </x:c>
      <x:c r="J91" s="9" t="n">
        <x:v>1</x:v>
      </x:c>
      <x:c r="K91" s="9" t="str">
        <x:v>Controls Aperture's test-chamber machinery, turrets and environmental hazards; has facility-wide neurotoxin distribution capable of killing the staff; dynamically rebuilds chambers and operates through a central AI body connected to the complex.</x:v>
      </x:c>
      <x:c r="L91" s="9" t="str">
        <x:v>Her threat comes from control of Aperture infrastructure rather than a durable personal chassis. Facility-scale control is counted because it is her normal operating body/system, but Chell repeatedly survives by sabotaging the infrastructure.</x:v>
      </x:c>
      <x:c r="M91" s="9" t="str">
        <x:v>The neurotoxin generator and turret production can be sabotaged; personality cores can be attached and a core transfer can remove her from facility control. Her central body is vulnerable when reached, and she has no Portal Gun of her own.</x:v>
      </x:c>
      <x:c r="N91" s="9" t="str">
        <x:v>Facility control; AI processing; surveillance; neurotoxin deployment; turret/test-chamber control; robotic arms/platform manipulation; personality-core interfaces.</x:v>
      </x:c>
      <x:c r="O91" s="9" t="str">
        <x:v>Portal (2007); Portal 2 (2011); Steam/Valve Portal 2 https://store.steampowered.com/app/620/Portal_2/ ; neurotoxin reference https://combineoverwiki.net/wiki/Neurotoxin_Generator</x:v>
      </x:c>
    </x:row>
    <x:row r="92">
      <x:c r="A92" s="9" t="str">
        <x:v>Grand Master Oogway</x:v>
      </x:c>
      <x:c r="B92" s="36" t="n">
        <x:v>5</x:v>
      </x:c>
      <x:c r="C92" s="36" t="n">
        <x:f>IFERROR(INDEX(Cards!$A$2:$A$184,MATCH($E92,Cards!$L$2:$L$184,0)),"")</x:f>
        <x:v>5</x:v>
      </x:c>
      <x:c r="D92" s="36" t="str">
        <x:f>IF(C92="","NO PLAYABLE MATCH",IF(C92=B92,"MATCH","REVIEW"))</x:f>
        <x:v>MATCH</x:v>
      </x:c>
      <x:c r="E92" s="36" t="str">
        <x:v>c094</x:v>
      </x:c>
      <x:c r="F92" s="9" t="str">
        <x:v>Grand Master Oogway</x:v>
      </x:c>
      <x:c r="G92" s="9" t="str">
        <x:v>Magic</x:v>
      </x:c>
      <x:c r="H92" s="9" t="str">
        <x:v>Kung-Fu Panda</x:v>
      </x:c>
      <x:c r="I92" s="9" t="str">
        <x:v>Grand Master Oogway, Kung Fu Panda films, living prime as represented in flashbacks</x:v>
      </x:c>
      <x:c r="J92" s="9" t="n">
        <x:v>1</x:v>
      </x:c>
      <x:c r="K92" s="9" t="str">
        <x:v>Defeats Tai Lung in the original flashback with pressure-point/nerve strikes; historical material establishes him as founder/master of kung fu; in the Spirit Realm he fights the massively empowered Kai using chi constructs before Kai eventually absorbs his chi.</x:v>
      </x:c>
      <x:c r="L92" s="9" t="str">
        <x:v>Living-prime Oogway has sparse direct screen footage. His Spirit-Realm duel demonstrates his chi skill but ends in defeat to Kai after Kai has absorbed the chi of many masters; do not scale Oogway above that empowered Kai.</x:v>
      </x:c>
      <x:c r="M92" s="9" t="str">
        <x:v>Pressure-point techniques depend on anatomy/contact. Kai can overpower and absorb his chi in the Spirit Realm. Oogway's greatest historical battle with Kai 500 years earlier is described more than fully shown, limiting exact scaling.</x:v>
      </x:c>
      <x:c r="N92" s="9" t="str">
        <x:v>Master kung fu; nerve/pressure-point strikes; chi projection and shielding; spiritual existence after death; exceptional perception/wisdom.</x:v>
      </x:c>
      <x:c r="O92" s="9" t="str">
        <x:v>Kung Fu Panda (2008); Kung Fu Panda 3 (2016); DreamWorks KFP3 https://www.dreamworks.com/movies/kung-fu-panda-3</x:v>
      </x:c>
    </x:row>
    <x:row r="93">
      <x:c r="A93" s="9" t="str">
        <x:v>Kojiro Sasaki</x:v>
      </x:c>
      <x:c r="B93" s="36" t="n">
        <x:v>5</x:v>
      </x:c>
      <x:c r="C93" s="36" t="n">
        <x:f>IFERROR(INDEX(Cards!$A$2:$A$184,MATCH($E93,Cards!$L$2:$L$184,0)),"")</x:f>
        <x:v>5</x:v>
      </x:c>
      <x:c r="D93" s="36" t="str">
        <x:f>IF(C93="","NO PLAYABLE MATCH",IF(C93=B93,"MATCH","REVIEW"))</x:f>
        <x:v>MATCH</x:v>
      </x:c>
      <x:c r="E93" s="36" t="str">
        <x:v>c095</x:v>
      </x:c>
      <x:c r="F93" s="9" t="str">
        <x:v>Kojiro Sasaki</x:v>
      </x:c>
      <x:c r="G93" s="9" t="str">
        <x:v>Nature</x:v>
      </x:c>
      <x:c r="H93" s="9" t="str">
        <x:v>RoR</x:v>
      </x:c>
      <x:c r="I93" s="9" t="str">
        <x:v>Kojiro Sasaki, Record of Ragnarok anime Round 3, Ragnarok Volund noted separately</x:v>
      </x:c>
      <x:c r="J93" s="9" t="n">
        <x:v>1</x:v>
      </x:c>
      <x:c r="K93" s="9" t="str">
        <x:v>Through Senju Musou he mentally simulates thousands of an opponent's possible attacks and progressively reads Poseidon's movement until he can evade/counter even his fastest barrages, ultimately defeating Poseidon in Round 3.</x:v>
      </x:c>
      <x:c r="L93" s="9" t="str">
        <x:v>The Poseidon victory is his defining scaling feat, but his god-killing swords are the Valkyrie Hrist's Volund. Under the agreed no-borrowed-power rule, the prediction/speed/skill scaling belongs to Kojiro while the divine weapon's ability to harm a god is a provisional equipment exception rather than innate power.</x:v>
      </x:c>
      <x:c r="M93" s="9" t="str">
        <x:v>Scanning improves with observation and can initially be outpaced by an opponent exceeding his predictions. His human/spiritual body is not shown with god-tier regeneration. Without a divine-compatible weapon, translating the Poseidon kill to cross-setting damage is uncertain.</x:v>
      </x:c>
      <x:c r="N93" s="9" t="str">
        <x:v>Senju Musou / predictive combat simulation; extreme swordsmanship; adaptive pattern reading; very high reaction timing. Hrist's dual/single blades are external Volund equipment.</x:v>
      </x:c>
      <x:c r="O93" s="9" t="str">
        <x:v>Record of Ragnarok S1 E9–12; Netflix https://www.netflix.com/title/81281579 ; anime script summary E10 https://www.springfieldspringfield.co.uk/view_episode_scripts.php?episode=s01e10&amp;tv-show=record-of-ragnarok-2021</x:v>
      </x:c>
    </x:row>
    <x:row r="94">
      <x:c r="A94" s="9" t="str">
        <x:v>Kuma</x:v>
      </x:c>
      <x:c r="B94" s="36" t="n">
        <x:v>5</x:v>
      </x:c>
      <x:c r="C94" s="36" t="n">
        <x:f>IFERROR(INDEX(Cards!$A$2:$A$184,MATCH($E94,Cards!$L$2:$L$184,0)),"")</x:f>
        <x:v>5</x:v>
      </x:c>
      <x:c r="D94" s="36" t="str">
        <x:f>IF(C94="","NO PLAYABLE MATCH",IF(C94=B94,"MATCH","REVIEW"))</x:f>
        <x:v>MATCH</x:v>
      </x:c>
      <x:c r="E94" s="36" t="str">
        <x:v>c133</x:v>
      </x:c>
      <x:c r="F94" s="9" t="str">
        <x:v>Kuma</x:v>
      </x:c>
      <x:c r="G94" s="9" t="str">
        <x:v>Tech</x:v>
      </x:c>
      <x:c r="H94" s="9" t="str">
        <x:v>One Piece</x:v>
      </x:c>
      <x:c r="I94" s="9" t="str">
        <x:v>Bartholomew Kuma, One Piece anime, Sabaody-era conscious Warlord/cyborg prime</x:v>
      </x:c>
      <x:c r="J94" s="9" t="n">
        <x:v>1</x:v>
      </x:c>
      <x:c r="K94" s="9" t="str">
        <x:v>Paw-Paw Fruit repels physical attacks, air and abstract pain/fatigue; compresses air into Ursus Shock, sends individuals flying across the world for three days, and can repel his own body for pseudo-teleportation. Egghead flashbacks/current scenes additionally confirm his extraordinary Buccaneer body and Haki-capable striking.</x:v>
      </x:c>
      <x:c r="L94" s="9" t="str">
        <x:v>Chosen just before full personality erasure so he combines conscious tactical use of the Paw-Paw Fruit with extensive Pacifista modification. His later mindless Egghead body still lands a Haki-infused blow on Saturn, supporting the underlying physical ceiling rather than a new external amp.</x:v>
      </x:c>
      <x:c r="M94" s="9" t="str">
        <x:v>Standard Devil Fruit sea/seastone weakness. Repulsion acts through palm pads and many precision effects require contact/aim. Cybernetic modifications can be damaged or overridden, and full Government conversion ultimately costs his autonomy.</x:v>
      </x:c>
      <x:c r="N94" s="9" t="str">
        <x:v>Paw-Paw repulsion; Ursus Shock compressed-air bomb; pain/fatigue/memory extraction; long-range BFR; pseudo-teleportation; Pacifista durability/laser technology; Haki; Buccaneer strength.</x:v>
      </x:c>
      <x:c r="O94" s="9" t="str">
        <x:v>One Piece anime Sabaody + Egghead; official Kuma profile https://one-piece.com/character/Bartholomew_Kuma/index.html ; Paw-Paw mechanics https://onepiece.fandom.com/wiki/Nikyu_Nikyu_no_Mi ; E1137 https://one-piece.com/anime/74151/index.html</x:v>
      </x:c>
    </x:row>
    <x:row r="95">
      <x:c r="A95" s="9" t="str">
        <x:v>One-Eyed Owl</x:v>
      </x:c>
      <x:c r="B95" s="36" t="n">
        <x:v>5</x:v>
      </x:c>
      <x:c r="C95" s="36" t="n">
        <x:f>IFERROR(INDEX(Cards!$A$2:$A$184,MATCH($E95,Cards!$L$2:$L$184,0)),"")</x:f>
        <x:v>5</x:v>
      </x:c>
      <x:c r="D95" s="36" t="str">
        <x:f>IF(C95="","NO PLAYABLE MATCH",IF(C95=B95,"MATCH","REVIEW"))</x:f>
        <x:v>MATCH</x:v>
      </x:c>
      <x:c r="E95" s="36" t="str">
        <x:v>c115</x:v>
      </x:c>
      <x:c r="F95" s="9" t="str">
        <x:v>One-Eyed Owl</x:v>
      </x:c>
      <x:c r="G95" s="9" t="str">
        <x:v>Nature</x:v>
      </x:c>
      <x:c r="H95" s="9" t="str">
        <x:v>Tokyo Ghoul</x:v>
      </x:c>
      <x:c r="I95" s="9" t="str">
        <x:v>Eto Yoshimura / One-Eyed Owl, Tokyo Ghoul anime continuity</x:v>
      </x:c>
      <x:c r="J95" s="9" t="n">
        <x:v>1</x:v>
      </x:c>
      <x:c r="K95" s="9" t="str">
        <x:v>As the SSS-rated One-Eyed Owl, manifests a massive kakuja, devastates CCG forces, fights top investigators, produces large numbers of high-speed kagune projectiles and regenerates severe ghoul injuries.</x:v>
      </x:c>
      <x:c r="L95" s="9" t="str">
        <x:v>The One-Eyed Owl identity is Eto, not her father Yoshimura's later 'Non-Killing Owl' designation. Anime continuity diverges/compresses manga events, so only screen-confirmed feats should be used for final scoring.</x:v>
      </x:c>
      <x:c r="M95" s="9" t="str">
        <x:v>Requires human flesh/RC resources like other ghouls and regeneration is finite; quinque/kagune weapons from sufficiently strong investigators can injure her. Large kakuja form is conspicuous and can be damaged by top CCG combatants.</x:v>
      </x:c>
      <x:c r="N95" s="9" t="str">
        <x:v>Ukaku kagune; kakuja transformation; regeneration; superhuman strength/speed/durability; projectile barrages; ghoul senses; body/kagune shaping.</x:v>
      </x:c>
      <x:c r="O95" s="9" t="str">
        <x:v>Tokyo Ghoul √A and Tokyo Ghoul:re anime; identity reference https://tokyoghoul.fandom.com/wiki/Eto_Yoshimura</x:v>
      </x:c>
    </x:row>
    <x:row r="96">
      <x:c r="A96" s="9" t="str">
        <x:v>Pandora's Actor</x:v>
      </x:c>
      <x:c r="B96" s="36" t="n">
        <x:v>5</x:v>
      </x:c>
      <x:c r="C96" s="36" t="n">
        <x:f>IFERROR(INDEX(Cards!$A$2:$A$184,MATCH($E96,Cards!$L$2:$L$184,0)),"")</x:f>
        <x:v>5</x:v>
      </x:c>
      <x:c r="D96" s="36" t="str">
        <x:f>IF(C96="","NO PLAYABLE MATCH",IF(C96=B96,"MATCH","REVIEW"))</x:f>
        <x:v>MATCH</x:v>
      </x:c>
      <x:c r="E96" s="36" t="str">
        <x:v>c007</x:v>
      </x:c>
      <x:c r="F96" s="9" t="str">
        <x:v>Pandora's Actor</x:v>
      </x:c>
      <x:c r="G96" s="9" t="str">
        <x:v>Magic</x:v>
      </x:c>
      <x:c r="H96" s="9" t="str">
        <x:v>Overlord</x:v>
      </x:c>
      <x:c r="I96" s="9" t="str">
        <x:v>Pandora's Actor, Overlord anime through S4; source-material peek for exact transformation mechanics</x:v>
      </x:c>
      <x:c r="J96" s="9" t="n">
        <x:v>1</x:v>
      </x:c>
      <x:c r="K96" s="9" t="str">
        <x:v>A level-100 Greater Doppelgänger who can transform into members of Ainz Ooal Gown and reproduce their appearance, equipment style and broad class abilities. In S4 he impersonates Ainz and fights Platinum Dragon Lord's remote armor while deliberately gathering information rather than simply seeking a kill.</x:v>
      </x:c>
      <x:c r="L96" s="9" t="str">
        <x:v>Anime shows him as a top Nazarick NPC and capable Ainz impersonator. Limited source-material peek: he can store up to roughly 45 forms and reproduced abilities are around 80% of the original's power, giving enormous versatility without making him equal to every original guild member.</x:v>
      </x:c>
      <x:c r="M96" s="9" t="str">
        <x:v>Copied forms are weaker than originals and he cannot combine every copied class simultaneously. Exact strength depends on selected form and equipment. His theatrical personality can waste time, though his underlying tactical intelligence is high.</x:v>
      </x:c>
      <x:c r="N96" s="9" t="str">
        <x:v>Greater Doppelgänger transformation; broad copied spell/class access; imitation of guild-member builds; high-level magic/combat stats; exceptional acting/deception and tactical analysis.</x:v>
      </x:c>
      <x:c r="O96" s="9" t="str">
        <x:v>Overlord anime S1–S4; source-material peek: https://overlordmaruyama.fandom.com/wiki/Pandora%27s_Actor/Abilities_and_Powers ; https://overlordmaruyama.fandom.com/wiki/Pandora%27s_Actor</x:v>
      </x:c>
    </x:row>
    <x:row r="97">
      <x:c r="A97" s="9" t="str">
        <x:v>Rennala Queen of the Full Moon</x:v>
      </x:c>
      <x:c r="B97" s="36" t="n">
        <x:v>5</x:v>
      </x:c>
      <x:c r="C97" s="36" t="n">
        <x:f>IFERROR(INDEX(Cards!$A$2:$A$184,MATCH($E97,Cards!$L$2:$L$184,0)),"")</x:f>
        <x:v>5</x:v>
      </x:c>
      <x:c r="D97" s="36" t="str">
        <x:f>IF(C97="","NO PLAYABLE MATCH",IF(C97=B97,"MATCH","REVIEW"))</x:f>
        <x:v>MATCH</x:v>
      </x:c>
      <x:c r="E97" s="36" t="str">
        <x:v>c100</x:v>
      </x:c>
      <x:c r="F97" s="9" t="str">
        <x:v>Rennala Queen of the Full Moon</x:v>
      </x:c>
      <x:c r="G97" s="9" t="str">
        <x:v>Magic</x:v>
      </x:c>
      <x:c r="H97" s="9" t="str">
        <x:v>Elden Ring</x:v>
      </x:c>
      <x:c r="I97" s="9" t="str">
        <x:v>Rennala, Queen of the Full Moon, historical prime represented by Elden Ring Phase 2 projection</x:v>
      </x:c>
      <x:c r="J97" s="9" t="n">
        <x:v>1</x:v>
      </x:c>
      <x:c r="K97" s="9" t="str">
        <x:v>The Phase 2 representation casts Comet/Comet Azur-like beams, Rennala's Full Moon and tracking sorceries, and summons temporary spectral wolves, a Bloodhound Knight, troll and dragon while fighting the Tarnished.</x:v>
      </x:c>
      <x:c r="L97" s="9" t="str">
        <x:v>Current physical Rennala is mentally broken and largely passive after Radagon leaves; prime rule therefore uses the combat-capable image invoked by Ranni as evidence of Rennala's historical fighting style/strength, not as a power-up granted to present Rennala.</x:v>
      </x:c>
      <x:c r="M97" s="9" t="str">
        <x:v>The Phase 2 combatant is a protective magical projection associated with Ranni, so how perfectly its stats match historical Rennala is uncertain. Sorceries have cast times/tracking limits, and Rennala is much less resistant to physical pressure than to magic.</x:v>
      </x:c>
      <x:c r="N97" s="9" t="str">
        <x:v>Full Moon sorcery; glintstone projectiles; Comet-style beams; temporary spirit summons; magical shields/levitation; rebirth magic via the Great Rune/amber egg outside direct combat.</x:v>
      </x:c>
      <x:c r="O97" s="9" t="str">
        <x:v>Elden Ring (2022), Rennala boss fight; Bandai Namco https://en.bandainamcoent.eu/elden-ring/elden-ring ; move reference https://eldenring.wiki.gg/wiki/Rennala</x:v>
      </x:c>
    </x:row>
    <x:row r="98">
      <x:c r="A98" s="9" t="str">
        <x:v>T-1000</x:v>
      </x:c>
      <x:c r="B98" s="36" t="n">
        <x:v>5</x:v>
      </x:c>
      <x:c r="C98" s="36" t="n">
        <x:f>IFERROR(INDEX(Cards!$A$2:$A$184,MATCH($E98,Cards!$L$2:$L$184,0)),"")</x:f>
        <x:v>5</x:v>
      </x:c>
      <x:c r="D98" s="36" t="str">
        <x:f>IF(C98="","NO PLAYABLE MATCH",IF(C98=B98,"MATCH","REVIEW"))</x:f>
        <x:v>MATCH</x:v>
      </x:c>
      <x:c r="E98" s="36" t="str">
        <x:v>c008</x:v>
      </x:c>
      <x:c r="F98" s="9" t="str">
        <x:v>T-1000</x:v>
      </x:c>
      <x:c r="G98" s="9" t="str">
        <x:v>Tech</x:v>
      </x:c>
      <x:c r="H98" s="9" t="str">
        <x:v>Terminator</x:v>
      </x:c>
      <x:c r="I98" s="9" t="str">
        <x:v>T-1000, Terminator 2: Judgment Day theatrical-film incarnation</x:v>
      </x:c>
      <x:c r="J98" s="9" t="n">
        <x:v>1</x:v>
      </x:c>
      <x:c r="K98" s="9" t="str">
        <x:v>Mimetic polyalloy body shrugs off and closes gunshot wounds, reforms after being blasted apart, copies humans of similar size, forms stabbing/cutting weapons from its limbs and physically contends with the T-800.</x:v>
      </x:c>
      <x:c r="L98" s="9" t="str">
        <x:v>Its survivability comes from reformation rather than conventional armor. Small-arms and ordinary impact damage mostly delay it, but extreme temperature attacks demonstrate hard physical limits.</x:v>
      </x:c>
      <x:c r="M98" s="9" t="str">
        <x:v>Liquid nitrogen freezes it solid; after shattering and reheating it reforms but begins malfunctioning. Sustained immersion in molten steel destroys it. It cannot form complex machines/explosives from its body and generally must mimic objects/people of comparable mass/size.</x:v>
      </x:c>
      <x:c r="N98" s="9" t="str">
        <x:v>Liquid-metal shapeshifting; impersonation; regeneration/reformation; bladed limb weapons; superhuman strength/agility; infiltration and voice/appearance mimicry.</x:v>
      </x:c>
      <x:c r="O98" s="9" t="str">
        <x:v>Terminator 2: Judgment Day (1991); film/script reference https://terminator.fandom.com/wiki/Terminator_2%3A_Judgment_Day_(film)/Script</x:v>
      </x:c>
    </x:row>
    <x:row r="99">
      <x:c r="A99" s="9" t="str">
        <x:v>The Driller</x:v>
      </x:c>
      <x:c r="B99" s="36" t="n">
        <x:v>5</x:v>
      </x:c>
      <x:c r="C99" s="36" t="n">
        <x:f>IFERROR(INDEX(Cards!$A$2:$A$184,MATCH($E99,Cards!$L$2:$L$184,0)),"")</x:f>
        <x:v>5</x:v>
      </x:c>
      <x:c r="D99" s="36" t="str">
        <x:f>IF(C99="","NO PLAYABLE MATCH",IF(C99=B99,"MATCH","REVIEW"))</x:f>
        <x:v>MATCH</x:v>
      </x:c>
      <x:c r="E99" s="36" t="str">
        <x:v>c105</x:v>
      </x:c>
      <x:c r="F99" s="9" t="str">
        <x:v>The Driller</x:v>
      </x:c>
      <x:c r="G99" s="9" t="str">
        <x:v>Tech</x:v>
      </x:c>
      <x:c r="H99" s="9" t="str">
        <x:v>Transformers</x:v>
      </x:c>
      <x:c r="I99" s="9" t="str">
        <x:v>The Driller, Transformers: Dark of the Moon (2011) Bayverse</x:v>
      </x:c>
      <x:c r="J99" s="9" t="n">
        <x:v>1</x:v>
      </x:c>
      <x:c r="K99" s="9" t="str">
        <x:v>Shockwave's gigantic Cybertronian drilling creature tunnels through structures, wraps around and tears through a Chicago skyscraper, causes catastrophic structural collapse, and continues rampaging until Jetwing Optimus Prime slices through and kills it.</x:v>
      </x:c>
      <x:c r="L99" s="9" t="str">
        <x:v>Scales as a massive siege/demolition Cybertronian creature whose chief strength is raw size, tunneling and structural destruction, not as a peer to the franchise's highest cosmic entities.</x:v>
      </x:c>
      <x:c r="M99" s="9" t="str">
        <x:v>Huge and conspicuous; not especially agile once committed to a structure. Can be physically cut apart and killed by sufficiently powerful Cybertronian weapons/users, as Optimus demonstrates.</x:v>
      </x:c>
      <x:c r="N99" s="9" t="str">
        <x:v>Gigantic segmented body; high-speed drilling/burrowing; crushing and tearing force; multiple drilling tentacles/appendages; subterranean mobility; extreme structural-demolition capability.</x:v>
      </x:c>
      <x:c r="O99" s="9" t="str">
        <x:v>Transformers: Dark of the Moon (2011); https://transformers.fandom.com/wiki/Driller</x:v>
      </x:c>
    </x:row>
    <x:row r="100">
      <x:c r="A100" s="9" t="str">
        <x:v>Time Bomb</x:v>
      </x:c>
      <x:c r="B100" s="36" t="n">
        <x:v>5</x:v>
      </x:c>
      <x:c r="C100" s="36" t="n">
        <x:f>IFERROR(INDEX(Cards!$A$2:$A$184,MATCH($E100,Cards!$L$2:$L$184,0)),"")</x:f>
        <x:v>5</x:v>
      </x:c>
      <x:c r="D100" s="36" t="str">
        <x:f>IF(C100="","NO PLAYABLE MATCH",IF(C100=B100,"MATCH","REVIEW"))</x:f>
        <x:v>MATCH</x:v>
      </x:c>
      <x:c r="E100" s="36" t="str">
        <x:v>c009</x:v>
      </x:c>
      <x:c r="F100" s="9" t="str">
        <x:v>Time Bomb</x:v>
      </x:c>
      <x:c r="G100" s="9" t="str">
        <x:v>Tech</x:v>
      </x:c>
      <x:c r="H100" s="9" t="str">
        <x:v>Loki</x:v>
      </x:c>
      <x:c r="I100" s="9" t="str">
        <x:v>Single TVA Reset Charge, Loki Season 2 TV canon</x:v>
      </x:c>
      <x:c r="J100" s="9" t="n">
        <x:v>1</x:v>
      </x:c>
      <x:c r="K100" s="9" t="str">
        <x:v>A deployed reset charge prunes/erases the targeted branched-timeline matter in its operating area; General Dox's mass bombing campaign uses many such charges deployed across branches simultaneously.</x:v>
      </x:c>
      <x:c r="L100" s="9" t="str">
        <x:v>Do NOT scale one Time Bomb to the total multi-branch destruction of Dox's operation. That feat required numerous charges, Minutemen, TemPads/Time Doors and centralized coordination.</x:v>
      </x:c>
      <x:c r="M100" s="9" t="str">
        <x:v>Single-use device; must be physically deployed at the target branch/location and allowed to activate. Does not provide combat speed, durability or targeting intelligence by itself.</x:v>
      </x:c>
      <x:c r="N100" s="9" t="str">
        <x:v>Timeline/branch pruning; matter erasure within reset field; TVA temporal deployment compatibility.</x:v>
      </x:c>
      <x:c r="O100" s="9" t="str">
        <x:v>Loki S2E2 'Breaking Brad'; https://marvelcinematicuniverse.fandom.com/wiki/Reset_Charge</x:v>
      </x:c>
    </x:row>
    <x:row r="101">
      <x:c r="A101" s="9" t="str">
        <x:v>Transformers</x:v>
      </x:c>
      <x:c r="B101" s="36" t="n">
        <x:v>5</x:v>
      </x:c>
      <x:c r="C101" s="36" t="n">
        <x:f>IFERROR(INDEX(Cards!$A$2:$A$184,MATCH($E101,Cards!$L$2:$L$184,0)),"")</x:f>
        <x:v>5</x:v>
      </x:c>
      <x:c r="D101" s="36" t="str">
        <x:f>IF(C101="","NO PLAYABLE MATCH",IF(C101=B101,"MATCH","REVIEW"))</x:f>
        <x:v>MATCH</x:v>
      </x:c>
      <x:c r="E101" s="36" t="str">
        <x:v>c106</x:v>
      </x:c>
      <x:c r="F101" s="9" t="str">
        <x:v>Transformers</x:v>
      </x:c>
      <x:c r="G101" s="9" t="str">
        <x:v>Tech</x:v>
      </x:c>
      <x:c r="H101" s="9" t="str">
        <x:v>Transformers</x:v>
      </x:c>
      <x:c r="I101" s="9" t="str">
        <x:v>Provisional: original 2007 live-action Autobot team (Optimus Prime, Bumblebee, Jazz, Ironhide, Ratchet)</x:v>
      </x:c>
      <x:c r="J101" s="9" t="n">
        <x:v>5</x:v>
      </x:c>
      <x:c r="K101" s="9" t="str">
        <x:v>The five Autobots fight the Decepticons in Mission City: Optimus battles Megatron, Bumblebee continues fighting after losing his legs, Ironhide/Ratchet engage multiple Decepticons and Jazz confronts Megatron before being killed.</x:v>
      </x:c>
      <x:c r="L101" s="9" t="str">
        <x:v>The bare name 'Transformers' does not identify faction, film, roster or continuity. A five-member 2007 Autobot arrival team is used as the cleanest screen-oriented baseline, but this is a placeholder rather than a confident identification.</x:v>
      </x:c>
      <x:c r="M101" s="9" t="str">
        <x:v>Team has large internal power differences and loses Jazz to Megatron. Conventional military weapons can damage some Bayverse Cybertronians under favorable conditions. This entry does not include later Autobots, Dinobots, Maximals, Decepticons or planet-level entities.</x:v>
      </x:c>
      <x:c r="N101" s="9" t="str">
        <x:v>Cybertronian transformations; vehicle mobility; integrated energy/ballistic weapons; superhuman robotic strength/durability; scanners/comms; Optimus's melee weapons and team tactics.</x:v>
      </x:c>
      <x:c r="O101" s="9" t="str">
        <x:v>Transformers (2007); Paramount franchise material https://www.paramount.com/about/businesses/studios</x:v>
      </x:c>
    </x:row>
    <x:row r="102">
      <x:c r="A102" s="9" t="str">
        <x:v>Zoro</x:v>
      </x:c>
      <x:c r="B102" s="36" t="n">
        <x:v>5</x:v>
      </x:c>
      <x:c r="C102" s="36" t="n">
        <x:f>IFERROR(INDEX(Cards!$A$2:$A$184,MATCH($E102,Cards!$L$2:$L$184,0)),"")</x:f>
        <x:v>5</x:v>
      </x:c>
      <x:c r="D102" s="36" t="str">
        <x:f>IF(C102="","NO PLAYABLE MATCH",IF(C102=B102,"MATCH","REVIEW"))</x:f>
        <x:v>MATCH</x:v>
      </x:c>
      <x:c r="E102" s="36" t="str">
        <x:v>c142</x:v>
      </x:c>
      <x:c r="F102" s="9" t="str">
        <x:v>Zoro</x:v>
      </x:c>
      <x:c r="G102" s="9" t="str">
        <x:v>Nature</x:v>
      </x:c>
      <x:c r="H102" s="9" t="str">
        <x:v>One Piece</x:v>
      </x:c>
      <x:c r="I102" s="9" t="str">
        <x:v>Roronoa Zoro, One Piece anime Wano/Egghead era with Enma</x:v>
      </x:c>
      <x:c r="J102" s="9" t="n">
        <x:v>1</x:v>
      </x:c>
      <x:c r="K102" s="9" t="str">
        <x:v>Uses Asura to permanently scar Kaido, learns to coat attacks with Conqueror's Haki, masters Enma's extreme Haki draw and defeats King in Episode 1062 with King of Hell Three-Sword Style.</x:v>
      </x:c>
      <x:c r="L102" s="9" t="str">
        <x:v>King victory establishes Zoro above a Yonko first commander once he understands King's Lunarian durability/speed tradeoff. Scarring Kaido is impressive but does not make Zoro equal to Kaido; Kaido remains combat-capable afterward.</x:v>
      </x:c>
      <x:c r="M102" s="9" t="str">
        <x:v>Enma aggressively drains Haki and can exhaust/kill an unready wielder; strongest King of Hell techniques have high stamina/Haki cost. Zoro has no Devil Fruit and remains vulnerable to overwhelming damage despite exceptional endurance.</x:v>
      </x:c>
      <x:c r="N102" s="9" t="str">
        <x:v>Three-Sword Style; Armament/Observation Haki; Conqueror's Haki coating; King of Hell style; Asura; flying sword slashes; Enma's Haki draw.</x:v>
      </x:c>
      <x:c r="O102" s="9" t="str">
        <x:v>One Piece anime Wano arc, especially E1017 and E1062; Crunchyroll 'Zoro vs King' https://www.youtube.com/watch?v=Zuu6ClXRabE</x:v>
      </x:c>
    </x:row>
    <x:row r="103">
      <x:c r="A103" s="9" t="str">
        <x:v>Albion</x:v>
      </x:c>
      <x:c r="B103" s="36" t="n">
        <x:v>4</x:v>
      </x:c>
      <x:c r="C103" s="36" t="n">
        <x:f>IFERROR(INDEX(Cards!$A$2:$A$184,MATCH($E103,Cards!$L$2:$L$184,0)),"")</x:f>
        <x:v>4</x:v>
      </x:c>
      <x:c r="D103" s="36" t="str">
        <x:f>IF(C103="","NO PLAYABLE MATCH",IF(C103=B103,"MATCH","REVIEW"))</x:f>
        <x:v>MATCH</x:v>
      </x:c>
      <x:c r="E103" s="36" t="str">
        <x:v>c117</x:v>
      </x:c>
      <x:c r="F103" s="9" t="str">
        <x:v>Albion</x:v>
      </x:c>
      <x:c r="G103" s="9" t="str">
        <x:v>Magic</x:v>
      </x:c>
      <x:c r="H103" s="9" t="str">
        <x:v>Seven Deadly Sins</x:v>
      </x:c>
      <x:c r="I103" s="9" t="str">
        <x:v>Albion, Seven Deadly Sins anime; tall/slender Fairy King's Forest model</x:v>
      </x:c>
      <x:c r="J103" s="9" t="n">
        <x:v>1</x:v>
      </x:c>
      <x:c r="K103" s="9" t="str">
        <x:v>A mountain-sized Demon Clan war golem whose bladed limbs slice through mountaintop-scale terrain and whose mouth fires destructive energy beams; withstands repeated Holy Knight/Fairy King attacks before King destroys it with Chastiefol.</x:v>
      </x:c>
      <x:c r="L103" s="9" t="str">
        <x:v>Albions are above ordinary Holy Knights by sheer size/output but remain far below the series' endgame demons and Sins. This model is used because it has the clearest high-end screen destruction among the named Albions.</x:v>
      </x:c>
      <x:c r="M103" s="9" t="str">
        <x:v>Huge, conspicuous and relatively simple-minded; limited agility/tactics compared with human-sized elites. Sufficiently strong sacred-treasure attacks can penetrate and destroy its core/body.</x:v>
      </x:c>
      <x:c r="N103" s="9" t="str">
        <x:v>Gigantic golem physiology; bladed limbs; energy beam; high durability; massive reach and terrain destruction.</x:v>
      </x:c>
      <x:c r="O103" s="9" t="str">
        <x:v>The Seven Deadly Sins anime, Albion arc (Signs of Holy War/Revival-era material); https://nanatsu-no-taizai.fandom.com/wiki/Albion</x:v>
      </x:c>
    </x:row>
    <x:row r="104">
      <x:c r="A104" s="9" t="str">
        <x:v>Angstrom Levy</x:v>
      </x:c>
      <x:c r="B104" s="36" t="n">
        <x:v>4</x:v>
      </x:c>
      <x:c r="C104" s="36" t="n">
        <x:f>IFERROR(INDEX(Cards!$A$2:$A$184,MATCH($E104,Cards!$L$2:$L$184,0)),"")</x:f>
        <x:v>4</x:v>
      </x:c>
      <x:c r="D104" s="36" t="str">
        <x:f>IF(C104="","NO PLAYABLE MATCH",IF(C104=B104,"MATCH","REVIEW"))</x:f>
        <x:v>MATCH</x:v>
      </x:c>
      <x:c r="E104" s="36" t="str">
        <x:v>c163</x:v>
      </x:c>
      <x:c r="F104" s="9" t="str">
        <x:v>Angstrom Levy</x:v>
      </x:c>
      <x:c r="G104" s="9" t="str">
        <x:v>Magic</x:v>
      </x:c>
      <x:c r="H104" s="9" t="str">
        <x:v>Invincible</x:v>
      </x:c>
      <x:c r="I104" s="9" t="str">
        <x:v>Angstrom Levy, Invincible animated series, post-reconstruction portal-user; evil Invincibles excluded</x:v>
      </x:c>
      <x:c r="J104" s="9" t="n">
        <x:v>1</x:v>
      </x:c>
      <x:c r="K104" s="9" t="str">
        <x:v>Creates portals between alternate dimensions and uses them continuously in his fight with Mark, redirecting movement, dropping Mark into hostile realities and attacking from changing angles. After advanced reconstructive treatment his body is dramatically enhanced, letting him physically survive and hurt Mark until Mark finally stops holding back.</x:v>
      </x:c>
      <x:c r="L104" s="9" t="str">
        <x:v>His dimensional portals let him bypass conventional battlefield distance and strand opponents without needing comparable raw attack power. His reconstructed body is superhuman but is not reliably equal to a serious Invincible; Mark catastrophically injures him once he attacks without restraint. The 18 evil Invincibles from the later Invincible War are not included.</x:v>
      </x:c>
      <x:c r="M104" s="9" t="str">
        <x:v>18 evil Invincibles are not included. Portals require conscious targeting/use and Angstrom can be caught when an opponent closes distance faster than he can exploit them. His enhanced body remains killable by Viltrumite-level force.</x:v>
      </x:c>
      <x:c r="N104" s="9" t="str">
        <x:v>Interdimensional portals; battlefield BFR; attack/momentum redirection; access to alternate realities; enhanced post-reconstruction strength/durability; extensive multiversal knowledge.</x:v>
      </x:c>
      <x:c r="O104" s="9" t="str">
        <x:v>Invincible animated series S2 Angstrom fight and later appearances; official series/S4 page https://www.aboutamazon.com/news/entertainment/invincible-season-4-prime-video</x:v>
      </x:c>
    </x:row>
    <x:row r="105">
      <x:c r="A105" s="9" t="str">
        <x:v>Battleship</x:v>
      </x:c>
      <x:c r="B105" s="36" t="n">
        <x:v>4</x:v>
      </x:c>
      <x:c r="C105" s="36" t="n">
        <x:f>IFERROR(INDEX(Cards!$A$2:$A$184,MATCH($E105,Cards!$L$2:$L$184,0)),"")</x:f>
        <x:v>4</x:v>
      </x:c>
      <x:c r="D105" s="36" t="str">
        <x:f>IF(C105="","NO PLAYABLE MATCH",IF(C105=B105,"MATCH","REVIEW"))</x:f>
        <x:v>MATCH</x:v>
      </x:c>
      <x:c r="E105" s="36" t="str">
        <x:v>c118</x:v>
      </x:c>
      <x:c r="F105" s="9" t="str">
        <x:v>Battleship</x:v>
      </x:c>
      <x:c r="G105" s="9" t="str">
        <x:v>Tech</x:v>
      </x:c>
      <x:c r="H105" s="9" t="str">
        <x:v>Basic</x:v>
      </x:c>
      <x:c r="I105" s="9" t="str">
        <x:v>Generic modern battleship benchmark; USS Missouri (BB-63), 1991 Desert Storm configuration used as the reference; conventional weapons only</x:v>
      </x:c>
      <x:c r="J105" s="9" t="n">
        <x:v>1</x:v>
      </x:c>
      <x:c r="K105" s="9" t="str">
        <x:v>Generic battleship benchmark using the Iowa-class USS Missouri as the concrete reference. In its 1991 configuration, Missouri carried nine 16-inch/50-caliber main guns, six 5-inch/38 guns, conventional Tomahawk land-attack missiles, Harpoon anti-ship missiles and Phalanx CIWS. The specific ship is a reference point for what this Basic card means, not the card's identity.</x:v>
      </x:c>
      <x:c r="L105" s="9" t="str">
        <x:v>Represents a heavily armed, armored conventional capital ship: devastating against surface ships, coastal targets and infrastructure, but still a conventional naval platform rather than a strategic or nuclear superweapon.</x:v>
      </x:c>
      <x:c r="M105" s="9" t="str">
        <x:v>Large, detectable surface ship vulnerable to submarines, mines, aircraft and modern anti-ship missile saturation. Guns and missiles have finite ammunition and require targeting solutions. No nuclear warheads or nuclear propulsion are assumed.</x:v>
      </x:c>
      <x:c r="N105" s="9" t="str">
        <x:v>Nine 16-inch/50 main guns; six 5-inch/38 guns; conventional Tomahawk land-attack missiles; Harpoon anti-ship missiles; Phalanx CIWS; heavy armor; radar/fire-control systems; helicopters/RPV support.</x:v>
      </x:c>
      <x:c r="O105" s="9" t="str">
        <x:v>U.S. Naval History and Heritage Command, USS Missouri https://www.history.navy.mil/browse-by-topic/ships/modern-ships/uss-missouri.html ; DANFS Desert Storm history https://www.history.navy.mil/research/histories/ship-histories/danfs/m/missouri-iii.html</x:v>
      </x:c>
    </x:row>
    <x:row r="106">
      <x:c r="A106" s="9" t="str">
        <x:v>Carnage Kabuto</x:v>
      </x:c>
      <x:c r="B106" s="36" t="n">
        <x:v>4</x:v>
      </x:c>
      <x:c r="C106" s="36" t="n">
        <x:f>IFERROR(INDEX(Cards!$A$2:$A$184,MATCH($E106,Cards!$L$2:$L$184,0)),"")</x:f>
        <x:v>4</x:v>
      </x:c>
      <x:c r="D106" s="36" t="str">
        <x:f>IF(C106="","NO PLAYABLE MATCH",IF(C106=B106,"MATCH","REVIEW"))</x:f>
        <x:v>MATCH</x:v>
      </x:c>
      <x:c r="E106" s="36" t="str">
        <x:v>c119</x:v>
      </x:c>
      <x:c r="F106" s="9" t="str">
        <x:v>Carnage Kabuto</x:v>
      </x:c>
      <x:c r="G106" s="9" t="str">
        <x:v>Nature</x:v>
      </x:c>
      <x:c r="H106" s="9" t="str">
        <x:v>OPM</x:v>
      </x:c>
      <x:c r="I106" s="9" t="str">
        <x:v>Carnage Kabuto, One-Punch Man anime S1, Carnage Mode</x:v>
      </x:c>
      <x:c r="J106" s="9" t="n">
        <x:v>1</x:v>
      </x:c>
      <x:c r="K106" s="9" t="str">
        <x:v>Effortlessly overwhelms Genos in the House of Evolution, blows Genos's large incineration blast back with his breath, instantly recognizes Saitama as terrifyingly dangerous, and enters Carnage Mode for a far stronger week-long berserk state before Saitama one-shots him.</x:v>
      </x:c>
      <x:c r="L106" s="9" t="str">
        <x:v>Far above early-anime Genos and ordinary House of Evolution monsters, but the only direct comparison to Saitama ends immediately. Virtual Genocide Simulation/manga-derived Darkshine scaling is excluded.</x:v>
      </x:c>
      <x:c r="M106" s="9" t="str">
        <x:v>Carnage Mode destroys his reason and is expected to leave him rampaging for about a week. Brute force dominates his kit; overwhelming strength such as Saitama's bypasses his durability completely.</x:v>
      </x:c>
      <x:c r="N106" s="9" t="str">
        <x:v>Carnage Mode transformation; extreme strength/speed/durability; flight-like leaps; armored exoskeleton; powerful breath/air-pressure redirection.</x:v>
      </x:c>
      <x:c r="O106" s="9" t="str">
        <x:v>One-Punch Man S1E3; official anime https://onepunchman-anime.net/ ; https://onepunchman.fandom.com/wiki/Carnage_Kabuto</x:v>
      </x:c>
    </x:row>
    <x:row r="107">
      <x:c r="A107" s="9" t="str">
        <x:v>Chrollo</x:v>
      </x:c>
      <x:c r="B107" s="36" t="n">
        <x:v>4</x:v>
      </x:c>
      <x:c r="C107" s="36" t="n">
        <x:f>IFERROR(INDEX(Cards!$A$2:$A$184,MATCH($E107,Cards!$L$2:$L$184,0)),"")</x:f>
        <x:v>4</x:v>
      </x:c>
      <x:c r="D107" s="36" t="str">
        <x:f>IF(C107="","NO PLAYABLE MATCH",IF(C107=B107,"MATCH","REVIEW"))</x:f>
        <x:v>MATCH</x:v>
      </x:c>
      <x:c r="E107" s="36" t="str">
        <x:v>c107</x:v>
      </x:c>
      <x:c r="F107" s="9" t="str">
        <x:v>Chrollo</x:v>
      </x:c>
      <x:c r="G107" s="9" t="str">
        <x:v>Magic</x:v>
      </x:c>
      <x:c r="H107" s="9" t="str">
        <x:v>HxH</x:v>
      </x:c>
      <x:c r="I107" s="9" t="str">
        <x:v>Chrollo Lucilfer, Hunter x Hunter 2011 anime, Yorknew prime before Nen sealing</x:v>
      </x:c>
      <x:c r="J107" s="9" t="n">
        <x:v>1</x:v>
      </x:c>
      <x:c r="K107" s="9" t="str">
        <x:v>Fights Zeno and Silva Zoldyck simultaneously long enough to survive their assassination attempt, cuts Silva with a poisoned Ben's knife, uses Skill Hunter and Fun Fun Cloth under pressure, and previously uses Indoor Fish to keep a mutilated victim alive until its conditions end.</x:v>
      </x:c>
      <x:c r="L107" s="9" t="str">
        <x:v>His anime hand-to-hand speed/composure let him contend with Zeno and Silva, but the manga Heavens Arena fight supplies the missing demonstration of what a prepared Skill Hunter can actually do. Source-material peek: Ch. 351–357 introduces Double Face/Bookmark, Sun and Moon, Black Voice, Gallery Fake, Order Stamp and Convert Hands; Chrollo layers multiple stolen abilities, crowds and explosive puppets into a planned kill sequence that defeats Hisoka. This materially raises his versatility/preparation ceiling, not his raw physical tier.</x:v>
      </x:c>
      <x:c r="M107" s="9" t="str">
        <x:v>Skill Hunter requires multiple conditions to steal abilities; Zeno infers four or five. Chrollo generally must hold/open the book to use a stolen ability in the anime-era version. His available stolen toolkit depends on what he has acquired.</x:v>
      </x:c>
      <x:c r="N107" s="9" t="str">
        <x:v>Skill Hunter ability theft/storage; Indoor Fish; Fun Fun Cloth; Lovely Ghostwriter; teleportation ability shown in Yorknew; Nen reinforcement; elite tactics and physical combat.</x:v>
      </x:c>
      <x:c r="O107" s="9" t="str">
        <x:v>Hunter x Hunter (2011) E51–52; source-material peek: manga Ch. 351–357, Ch. 351 https://hunterxhunter.fandom.com/wiki/Chapter_351 ; Ch. 352 https://hunterxhunter.fandom.com/wiki/Chapter_352 ; Ch. 355 https://hunterxhunter.fandom.com/wiki/Chapter_355</x:v>
      </x:c>
    </x:row>
    <x:row r="108">
      <x:c r="A108" s="9" t="str">
        <x:v>Doctor Octopus</x:v>
      </x:c>
      <x:c r="B108" s="36" t="n">
        <x:v>4</x:v>
      </x:c>
      <x:c r="C108" s="36" t="n">
        <x:f>IFERROR(INDEX(Cards!$A$2:$A$184,MATCH($E108,Cards!$L$2:$L$184,0)),"")</x:f>
        <x:v>4</x:v>
      </x:c>
      <x:c r="D108" s="36" t="str">
        <x:f>IF(C108="","NO PLAYABLE MATCH",IF(C108=B108,"MATCH","REVIEW"))</x:f>
        <x:v>MATCH</x:v>
      </x:c>
      <x:c r="E108" s="36" t="str">
        <x:v>c111</x:v>
      </x:c>
      <x:c r="F108" s="9" t="str">
        <x:v>Doctor Octopus</x:v>
      </x:c>
      <x:c r="G108" s="9" t="str">
        <x:v>Tech</x:v>
      </x:c>
      <x:c r="H108" s="9" t="str">
        <x:v>MCU</x:v>
      </x:c>
      <x:c r="I108" s="9" t="str">
        <x:v>Doctor Octopus, Spider-Man: No Way Home MCU appearance; original four arms, no stolen Iron-Spider nanites</x:v>
      </x:c>
      <x:c r="J108" s="9" t="n">
        <x:v>1</x:v>
      </x:c>
      <x:c r="K108" s="9" t="str">
        <x:v>Mechanical tentacles throw cars and concrete, let Otto climb/fight from multiple angles, catch and restrain MCU Spider-Man on the bridge, and continue operating under heavy impact. Peter ultimately wins the arm-control contest only after Iron-Spider nanites integrate with the tentacles.</x:v>
      </x:c>
      <x:c r="L108" s="9" t="str">
        <x:v>His tentacles are strong enough to physically trouble MCU Spider-Man, but Otto's human body remains the central weak point. Temporary stolen Stark nanites are excluded as borrowed enemy equipment.</x:v>
      </x:c>
      <x:c r="M108" s="9" t="str">
        <x:v>Human torso/head can be knocked out or killed if attackers bypass the arms. Tentacle AI can influence Otto when the inhibitor chip fails; the arms can be electronically hijacked by sufficiently advanced compatible technology.</x:v>
      </x:c>
      <x:c r="N108" s="9" t="str">
        <x:v>Four super-strong AI tentacles; multi-angle grappling; climbing; vehicle throwing; shielding with arms; high-precision mechanical manipulation.</x:v>
      </x:c>
      <x:c r="O108" s="9" t="str">
        <x:v>Spider-Man 2 (2004); Spider-Man: No Way Home (2021); https://www.marvel.com/movies/spider-man-no-way-home</x:v>
      </x:c>
    </x:row>
    <x:row r="109">
      <x:c r="A109" s="9" t="str">
        <x:v>Dominion Authority</x:v>
      </x:c>
      <x:c r="B109" s="36" t="n">
        <x:v>4</x:v>
      </x:c>
      <x:c r="C109" s="36" t="n">
        <x:f>IFERROR(INDEX(Cards!$A$2:$A$184,MATCH($E109,Cards!$L$2:$L$184,0)),"")</x:f>
        <x:v>4</x:v>
      </x:c>
      <x:c r="D109" s="36" t="str">
        <x:f>IF(C109="","NO PLAYABLE MATCH",IF(C109=B109,"MATCH","REVIEW"))</x:f>
        <x:v>MATCH</x:v>
      </x:c>
      <x:c r="E109" s="36" t="str">
        <x:v>c086</x:v>
      </x:c>
      <x:c r="F109" s="9" t="str">
        <x:v>Dominion Authority</x:v>
      </x:c>
      <x:c r="G109" s="9" t="str">
        <x:v>Magic</x:v>
      </x:c>
      <x:c r="H109" s="9" t="str">
        <x:v>Overlord</x:v>
      </x:c>
      <x:c r="I109" s="9" t="str">
        <x:v>Dominion Authority, Overlord anime S1 summoned angel</x:v>
      </x:c>
      <x:c r="J109" s="9" t="n">
        <x:v>1</x:v>
      </x:c>
      <x:c r="K109" s="9" t="str">
        <x:v>Casts the high-tier holy attack Holy Smite against Ainz, one of the strongest angel summons available to the Slane Theocracy unit present; Ainz acknowledges the attack's holy affinity before destroying the angel with Black Hole.</x:v>
      </x:c>
      <x:c r="L109" s="9" t="str">
        <x:v>Useful scaling is limited: Dominion Authority is dangerous by New World standards but dramatically below Ainz. Claims based on speculative level conversions or novel-only city-destruction statements are not imported.</x:v>
      </x:c>
      <x:c r="M109" s="9" t="str">
        <x:v>Summoned entity with finite duration/command context; lacks demonstrated versatility beyond holy magic and flight. Ainz defeats it immediately once he attacks seriously.</x:v>
      </x:c>
      <x:c r="N109" s="9" t="str">
        <x:v>Holy/light magic; flight; magical durability; summoned-angel traits; Holy Smite.</x:v>
      </x:c>
      <x:c r="O109" s="9" t="str">
        <x:v>Overlord S1E4; https://overlordmaruyama.fandom.com/wiki/Dominion_Authority</x:v>
      </x:c>
    </x:row>
    <x:row r="110">
      <x:c r="A110" s="9" t="str">
        <x:v>Fantastic Four</x:v>
      </x:c>
      <x:c r="B110" s="36" t="n">
        <x:v>4</x:v>
      </x:c>
      <x:c r="C110" s="36" t="n">
        <x:f>IFERROR(INDEX(Cards!$A$2:$A$184,MATCH($E110,Cards!$L$2:$L$184,0)),"")</x:f>
        <x:v>4</x:v>
      </x:c>
      <x:c r="D110" s="36" t="str">
        <x:f>IF(C110="","NO PLAYABLE MATCH",IF(C110=B110,"MATCH","REVIEW"))</x:f>
        <x:v>MATCH</x:v>
      </x:c>
      <x:c r="E110" s="36" t="str">
        <x:v>c120</x:v>
      </x:c>
      <x:c r="F110" s="9" t="str">
        <x:v>Fantastic Four</x:v>
      </x:c>
      <x:c r="G110" s="9" t="str">
        <x:v>Nature</x:v>
      </x:c>
      <x:c r="H110" s="9" t="str">
        <x:v>MCU</x:v>
      </x:c>
      <x:c r="I110" s="9" t="str">
        <x:v>Fantastic Four, MCU Earth-828 team from The Fantastic Four: First Steps (2025)</x:v>
      </x:c>
      <x:c r="J110" s="9" t="n">
        <x:v>4</x:v>
      </x:c>
      <x:c r="K110" s="9" t="str">
        <x:v>Reed, Sue, Johnny and Ben collectively defend Earth-828 from Galactus: Reed devises the teleportation-bridge plan, Sue's force fields physically hold/redirect Galactus long enough for the plan, Johnny supplies extreme flight/firepower and Ben contributes Thing-level strength; the team succeeds in banishing Galactus rather than overpowering him head-on.</x:v>
      </x:c>
      <x:c r="L110" s="9" t="str">
        <x:v>Their Galactus victory is a strategy/BFR team feat, not proof each member has Galactus-level attack power. Sue is the team's clearest defensive powerhouse; Franklin's later resurrection of Sue and Silver Surfer's help are external and not team powers.</x:v>
      </x:c>
      <x:c r="M110" s="9" t="str">
        <x:v>Large internal power/role differences. Reed is physically vulnerable despite stretching; Sue's strongest force-field exertion can exhaust/kill her; Johnny's output and Ben's reach are more conventional than cosmic hax. Franklin is not counted as a fifth combatant.</x:v>
      </x:c>
      <x:c r="N110" s="9" t="str">
        <x:v>Elasticity/intellect; invisibility and force-field construction; Human Torch flame/plasma projection and flight; Thing super strength/durability; high-end team science and portal/teleportation engineering.</x:v>
      </x:c>
      <x:c r="O110" s="9" t="str">
        <x:v>The Fantastic Four: First Steps (2025); Marvel official https://www.marvel.com/movies/fantastic-four</x:v>
      </x:c>
    </x:row>
    <x:row r="111">
      <x:c r="A111" s="9" t="str">
        <x:v>Furious Five</x:v>
      </x:c>
      <x:c r="B111" s="36" t="n">
        <x:v>4</x:v>
      </x:c>
      <x:c r="C111" s="36" t="n">
        <x:f>IFERROR(INDEX(Cards!$A$2:$A$184,MATCH($E111,Cards!$L$2:$L$184,0)),"")</x:f>
        <x:v>4</x:v>
      </x:c>
      <x:c r="D111" s="36" t="str">
        <x:f>IF(C111="","NO PLAYABLE MATCH",IF(C111=B111,"MATCH","REVIEW"))</x:f>
        <x:v>MATCH</x:v>
      </x:c>
      <x:c r="E111" s="36" t="str">
        <x:v>c121</x:v>
      </x:c>
      <x:c r="F111" s="9" t="str">
        <x:v>Furious Five</x:v>
      </x:c>
      <x:c r="G111" s="9" t="str">
        <x:v>Nature</x:v>
      </x:c>
      <x:c r="H111" s="9" t="str">
        <x:v>Kung-Fu Panda</x:v>
      </x:c>
      <x:c r="I111" s="9" t="str">
        <x:v>Furious Five, Kung Fu Panda film continuity, KFP2-era active team</x:v>
      </x:c>
      <x:c r="J111" s="9" t="n">
        <x:v>5</x:v>
      </x:c>
      <x:c r="K111" s="9" t="str">
        <x:v>Tigress, Monkey, Crane, Viper and Mantis fight Tai Lung together, survive his nerve-strike defeat, later battle large wolf/gorilla armies in Gongmen City, evade cannon fire and operate effectively alongside Po against Shen's forces.</x:v>
      </x:c>
      <x:c r="L111" s="9" t="str">
        <x:v>Collectively far above ordinary soldiers and martial artists, but Tai Lung defeats the entire Five in KFP1. Their strength is teamwork, specialized styles and mobility rather than supernatural energy output.</x:v>
      </x:c>
      <x:c r="M111" s="9" t="str">
        <x:v>No member has Po/Oogway/Kai-level chi hax in the films. They can be incapacitated by superior martial artists or heavy weaponry, and their effectiveness falls if separated or prevented from coordinating.</x:v>
      </x:c>
      <x:c r="N111" s="9" t="str">
        <x:v>Elite kung fu; Tigress power/durability; Crane flight/aerial rescue; Viper flexibility/constriction; Mantis precision/small size; Monkey agility; coordinated combination attacks.</x:v>
      </x:c>
      <x:c r="O111" s="9" t="str">
        <x:v>Kung Fu Panda (2008); Kung Fu Panda 2 (2011); DreamWorks franchise https://www.dreamworks.com/movies/kung-fu-panda</x:v>
      </x:c>
    </x:row>
    <x:row r="112">
      <x:c r="A112" s="9" t="str">
        <x:v>General Grievous</x:v>
      </x:c>
      <x:c r="B112" s="36" t="n">
        <x:v>4</x:v>
      </x:c>
      <x:c r="C112" s="36" t="n">
        <x:f>IFERROR(INDEX(Cards!$A$2:$A$184,MATCH($E112,Cards!$L$2:$L$184,0)),"")</x:f>
        <x:v>4</x:v>
      </x:c>
      <x:c r="D112" s="36" t="str">
        <x:f>IF(C112="","NO PLAYABLE MATCH",IF(C112=B112,"MATCH","REVIEW"))</x:f>
        <x:v>MATCH</x:v>
      </x:c>
      <x:c r="E112" s="36" t="str">
        <x:v>c036</x:v>
      </x:c>
      <x:c r="F112" s="9" t="str">
        <x:v>General Grievous</x:v>
      </x:c>
      <x:c r="G112" s="9" t="str">
        <x:v>Tech</x:v>
      </x:c>
      <x:c r="H112" s="9" t="str">
        <x:v>Star Wars</x:v>
      </x:c>
      <x:c r="I112" s="9" t="str">
        <x:v>General Grievous, Star Wars screen canon, late Clone Wars/Revenge of the Sith</x:v>
      </x:c>
      <x:c r="J112" s="9" t="n">
        <x:v>1</x:v>
      </x:c>
      <x:c r="K112" s="9" t="str">
        <x:v>Kills Jedi and collects their lightsabers, defeats Nahdar Vebb, pressures experienced Jedi with four-blade offense, survives major impacts and ship crashes, and repeatedly duels Obi-Wan before Kenobi destroys his exposed organs with blaster fire on Utapau.</x:v>
      </x:c>
      <x:c r="L112" s="9" t="str">
        <x:v>A major Jedi-killing threat trained by Count Dooku, but top Jedi such as Obi-Wan can outfight him and Force abilities can throw/disable him when they connect. Legends speed/strength feats are excluded.</x:v>
      </x:c>
      <x:c r="M112" s="9" t="str">
        <x:v>Organic organs are protected by but still vulnerable within the cyborg chest. Lacks Force powers/precognition; can be pushed or caught by telekinesis. Arrogance and retreat-prone tactics limit consistency.</x:v>
      </x:c>
      <x:c r="N112" s="9" t="str">
        <x:v>Four-lightsaber combat; cyborg strength/speed/agility; rotating wrists; wall climbing; enhanced reflexes; armored chassis; tactical command.</x:v>
      </x:c>
      <x:c r="O112" s="9" t="str">
        <x:v>Star Wars: The Clone Wars; Revenge of the Sith (2005); official Databank https://www.starwars.com/databank/general-grievous</x:v>
      </x:c>
    </x:row>
    <x:row r="113">
      <x:c r="A113" s="9" t="str">
        <x:v>Gordon Freeman</x:v>
      </x:c>
      <x:c r="B113" s="36" t="n">
        <x:v>4</x:v>
      </x:c>
      <x:c r="C113" s="36" t="n">
        <x:f>IFERROR(INDEX(Cards!$A$2:$A$184,MATCH($E113,Cards!$L$2:$L$184,0)),"")</x:f>
        <x:v>4</x:v>
      </x:c>
      <x:c r="D113" s="36" t="str">
        <x:f>IF(C113="","NO PLAYABLE MATCH",IF(C113=B113,"MATCH","REVIEW"))</x:f>
        <x:v>MATCH</x:v>
      </x:c>
      <x:c r="E113" s="36" t="str">
        <x:v>c081</x:v>
      </x:c>
      <x:c r="F113" s="9" t="str">
        <x:v>Gordon Freeman</x:v>
      </x:c>
      <x:c r="G113" s="9" t="str">
        <x:v>Tech</x:v>
      </x:c>
      <x:c r="H113" s="9" t="str">
        <x:v>Half-life</x:v>
      </x:c>
      <x:c r="I113" s="9" t="str">
        <x:v>Gordon Freeman, Half-Life 2/Episodes, standard HEV Suit + carried arsenal; normal Gravity Gun</x:v>
      </x:c>
      <x:c r="J113" s="9" t="n">
        <x:v>1</x:v>
      </x:c>
      <x:c r="K113" s="9" t="str">
        <x:v>Survives the Black Mesa/City 17 war zones, defeats Combine soldiers, gunships and Striders using weapons and environmental tactics, crosses Ravenholm/Nova Prospekt, and uses the Gravity Gun to weaponize heavy debris and return projectiles.</x:v>
      </x:c>
      <x:c r="L113" s="9" t="str">
        <x:v>Gordon's effectiveness comes from HEV protection, broad weapon access and exceptional combat/problem-solving rather than superhuman raw stats. The Citadel-supercharged Gravity Gun is excluded as an environment-created temporary plot amp.</x:v>
      </x:c>
      <x:c r="M113" s="9" t="str">
        <x:v>Human underneath the HEV Suit; suit energy, health and ammunition are finite. Normal Gravity Gun cannot manipulate living humans as freely as its temporary supercharged Citadel state. Heavy enemies require appropriate weapons/resources.</x:v>
      </x:c>
      <x:c r="N113" s="9" t="str">
        <x:v>HEV armor/sensors; crowbar; firearms; crossbow; grenades; RPG; pulse rifle; normal Gravity Gun object manipulation; vehicle use; engineering/problem-solving.</x:v>
      </x:c>
      <x:c r="O113" s="9" t="str">
        <x:v>Half-Life 2 (2004), Episode One, Episode Two; Valve https://store.steampowered.com/app/220/HalfLife_2/</x:v>
      </x:c>
    </x:row>
    <x:row r="114">
      <x:c r="A114" s="9" t="str">
        <x:v>Gravelord Nito</x:v>
      </x:c>
      <x:c r="B114" s="36" t="n">
        <x:v>4</x:v>
      </x:c>
      <x:c r="C114" s="36" t="n">
        <x:f>IFERROR(INDEX(Cards!$A$2:$A$184,MATCH($E114,Cards!$L$2:$L$184,0)),"")</x:f>
        <x:v>4</x:v>
      </x:c>
      <x:c r="D114" s="36" t="str">
        <x:f>IF(C114="","NO PLAYABLE MATCH",IF(C114=B114,"MATCH","REVIEW"))</x:f>
        <x:v>MATCH</x:v>
      </x:c>
      <x:c r="E114" s="36" t="str">
        <x:v>c154</x:v>
      </x:c>
      <x:c r="F114" s="9" t="str">
        <x:v>Gravelord Nito</x:v>
      </x:c>
      <x:c r="G114" s="9" t="str">
        <x:v>Magic</x:v>
      </x:c>
      <x:c r="H114" s="9" t="str">
        <x:v>Dark Souls</x:v>
      </x:c>
      <x:c r="I114" s="9" t="str">
        <x:v>Gravelord Nito, diminished Dark Souls boss incarnation</x:v>
      </x:c>
      <x:c r="J114" s="9" t="n">
        <x:v>1</x:v>
      </x:c>
      <x:c r="K114" s="9" t="str">
        <x:v>The Nito fought in Dark Souls uses a huge gravelord sword, releases toxic/death miasma, sends spectral Gravelord sword spikes through the ground, unleashes area death bursts and commands reanimating skeletons throughout his tomb.</x:v>
      </x:c>
      <x:c r="L114" s="9" t="str">
        <x:v>Still a Lord Soul bearer and ancient god of death, but lore states he has given away much of his original power by the time the Chosen Undead reaches him. Therefore the boss fight, not his Age-of-Ancients dragon-war peak, is the ranking baseline.</x:v>
      </x:c>
      <x:c r="M114" s="9" t="str">
        <x:v>Slow and vulnerable to sustained close-range damage. His skeletons can be permanently killed with divine damage; Nito's own area attacks can destroy them temporarily. The Chosen Undead is able to defeat this diminished body in direct combat.</x:v>
      </x:c>
      <x:c r="N114" s="9" t="str">
        <x:v>Death/disease miasma; toxic buildup; necromancy and skeleton command; ground-piercing Gravelord sword manifestations; giant undead strength; area death burst.</x:v>
      </x:c>
      <x:c r="O114" s="9" t="str">
        <x:v>Dark Souls (2011), Gravelord Nito boss fight and lore; https://darksouls.wiki.fextralife.com/Gravelord+Nito</x:v>
      </x:c>
    </x:row>
    <x:row r="115">
      <x:c r="A115" s="9" t="str">
        <x:v>Gums</x:v>
      </x:c>
      <x:c r="B115" s="36" t="n">
        <x:v>4</x:v>
      </x:c>
      <x:c r="C115" s="36" t="n">
        <x:f>IFERROR(INDEX(Cards!$A$2:$A$184,MATCH($E115,Cards!$L$2:$L$184,0)),"")</x:f>
        <x:v>4</x:v>
      </x:c>
      <x:c r="D115" s="36" t="str">
        <x:f>IF(C115="","NO PLAYABLE MATCH",IF(C115=B115,"MATCH","REVIEW"))</x:f>
        <x:v>MATCH</x:v>
      </x:c>
      <x:c r="E115" s="36" t="str">
        <x:v>c126</x:v>
      </x:c>
      <x:c r="F115" s="9" t="str">
        <x:v>Gums</x:v>
      </x:c>
      <x:c r="G115" s="9" t="str">
        <x:v>Nature</x:v>
      </x:c>
      <x:c r="H115" s="9" t="str">
        <x:v>OPM</x:v>
      </x:c>
      <x:c r="I115" s="9" t="str">
        <x:v>Gums, One-Punch Man anime Season 3 through E36</x:v>
      </x:c>
      <x:c r="J115" s="9" t="n">
        <x:v>1</x:v>
      </x:c>
      <x:c r="K115" s="9" t="str">
        <x:v>Dragon-level Monster Association executive that swallows Pig God whole, overpowers him in their close physical struggle and can bite through the psychic barrier Tatsumaki temporarily puts around Pig God before the underground battlefield is disrupted.</x:v>
      </x:c>
      <x:c r="L115" s="9" t="str">
        <x:v>Anime establishes Gums as a Dragon-level executive above Pig God in their direct exchange. Source-material peek: the manga surface battle shows Gums mauling/swallowing Tanktop Master, later recovering enough to seize Genos after being attacked from inside, and finally being torn apart from within by Fuhrer Ugly after Bang redirects the fight. This clarifies that Gums has much greater bite force, resilience and regeneration than the anime has yet displayed, while remaining a close-range brute.</x:v>
      </x:c>
      <x:c r="M115" s="9" t="str">
        <x:v>Very limited range and essentially no sophisticated ranged option; fights through jaws, body mass and biting. Can be physically injured by sufficiently strong opponents and lacks the versatility of higher Monster Association executives.</x:v>
      </x:c>
      <x:c r="N115" s="9" t="str">
        <x:v>Enormous jaws/bite force; elastic mouth/body; swallowing; high strength/durability; monster physiology.</x:v>
      </x:c>
      <x:c r="O115" s="9" t="str">
        <x:v>One-Punch Man S3E12 / overall E36; source-material peek: manga Ch. 143–144, https://onepunchman.fandom.com/wiki/Chapter_144_(Online)</x:v>
      </x:c>
    </x:row>
    <x:row r="116">
      <x:c r="A116" s="9" t="str">
        <x:v>Gyoro Gyoro</x:v>
      </x:c>
      <x:c r="B116" s="36" t="n">
        <x:v>4</x:v>
      </x:c>
      <x:c r="C116" s="36" t="n">
        <x:f>IFERROR(INDEX(Cards!$A$2:$A$184,MATCH($E116,Cards!$L$2:$L$184,0)),"")</x:f>
        <x:v>4</x:v>
      </x:c>
      <x:c r="D116" s="36" t="str">
        <x:f>IF(C116="","NO PLAYABLE MATCH",IF(C116=B116,"MATCH","REVIEW"))</x:f>
        <x:v>MATCH</x:v>
      </x:c>
      <x:c r="E116" s="36" t="str">
        <x:v>c112</x:v>
      </x:c>
      <x:c r="F116" s="9" t="str">
        <x:v>Gyoro Gyoro</x:v>
      </x:c>
      <x:c r="G116" s="9" t="str">
        <x:v>Magic</x:v>
      </x:c>
      <x:c r="H116" s="9" t="str">
        <x:v>OPM</x:v>
      </x:c>
      <x:c r="I116" s="9" t="str">
        <x:v>Gyoro Gyoro, One-Punch Man anime Season 3 puppet body</x:v>
      </x:c>
      <x:c r="J116" s="9" t="n">
        <x:v>1</x:v>
      </x:c>
      <x:c r="K116" s="9" t="str">
        <x:v>Restrains Garou telekinetically, monitors the Monster Association through psychic senses/drones, crushes and compacts huge amounts of rubble around Tatsumaki, transforms its puppet body and imposes 300-times gravity before Tatsumaki tears it apart.</x:v>
      </x:c>
      <x:c r="L116" s="9" t="str">
        <x:v>A high-end Monster Association psychic proxy, but Tatsumaki is so far above it that the 300x-gravity attack does nothing. The card is Gyoro Gyoro's puppet, not Psykos's later true-body/fusion forms.</x:v>
      </x:c>
      <x:c r="M116" s="9" t="str">
        <x:v>Remote meat-puppet controlled by Psykos and poor at multitasking; destruction of the puppet exposes rather than necessarily kills the controller. Its strongest psychic pressure is ineffective against vastly superior espers.</x:v>
      </x:c>
      <x:c r="N116" s="9" t="str">
        <x:v>Psychokinesis; flight; 300x localized gravity pressure; psychic energy beams; remote spy drones; broad underground sensing; monster power assessment.</x:v>
      </x:c>
      <x:c r="O116" s="9" t="str">
        <x:v>One-Punch Man S3E12 / overall E36 (2025); https://us.oricon-group.com/news/7301/ ; https://onepunchman.fandom.com/wiki/Gyoro_Gyoro</x:v>
      </x:c>
    </x:row>
    <x:row r="117">
      <x:c r="A117" s="9" t="str">
        <x:v>Hypnos</x:v>
      </x:c>
      <x:c r="B117" s="36" t="n">
        <x:v>4</x:v>
      </x:c>
      <x:c r="C117" s="36" t="n">
        <x:f>IFERROR(INDEX(Cards!$A$2:$A$184,MATCH($E117,Cards!$L$2:$L$184,0)),"")</x:f>
        <x:v>4</x:v>
      </x:c>
      <x:c r="D117" s="36" t="str">
        <x:f>IF(C117="","NO PLAYABLE MATCH",IF(C117=B117,"MATCH","REVIEW"))</x:f>
        <x:v>MATCH</x:v>
      </x:c>
      <x:c r="E117" s="36" t="str">
        <x:v>c067</x:v>
      </x:c>
      <x:c r="F117" s="9" t="str">
        <x:v>Hypnos</x:v>
      </x:c>
      <x:c r="G117" s="9" t="str">
        <x:v>Magic</x:v>
      </x:c>
      <x:c r="H117" s="9" t="str">
        <x:v>Hades</x:v>
      </x:c>
      <x:c r="I117" s="9" t="str">
        <x:v>Hypnos, Hades (2020) game incarnation, normal awake state</x:v>
      </x:c>
      <x:c r="J117" s="9" t="n">
        <x:v>1</x:v>
      </x:c>
      <x:c r="K117" s="9" t="str">
        <x:v>As the divine embodiment of sleep, Hypnos is credited in House dialogue/lore with putting inhabitants to sleep and naturally persists as an immortal chthonic god; however, he is never a boss or serious combatant in Hades.</x:v>
      </x:c>
      <x:c r="L117" s="9" t="str">
        <x:v>Divine parentage/status cannot substitute for feats. He should not automatically scale to Zagreus, Thanatos, Nyx or Olympians in combat simply because he is a god and Nyx's son.</x:v>
      </x:c>
      <x:c r="M117" s="9" t="str">
        <x:v>Almost no direct combat evidence, attack feats or durability tests. His sleep authority is demonstrated/narratively established mainly in noncombat situations, so resistance, range and speed against hostile peers are uncertain.</x:v>
      </x:c>
      <x:c r="N117" s="9" t="str">
        <x:v>Supernatural sleep induction; divine immortality/underworld existence; awareness of shades/deaths; minor chthonic magic.</x:v>
      </x:c>
      <x:c r="O117" s="9" t="str">
        <x:v>Hades (2020), Hypnos/House of Hades dialogue; Supergiant https://www.supergiantgames.com/games/hades/ ; https://hades.fandom.com/wiki/Hypnos</x:v>
      </x:c>
    </x:row>
    <x:row r="118">
      <x:c r="A118" s="9" t="str">
        <x:v>Kite</x:v>
      </x:c>
      <x:c r="B118" s="36" t="n">
        <x:v>4</x:v>
      </x:c>
      <x:c r="C118" s="36" t="n">
        <x:f>IFERROR(INDEX(Cards!$A$2:$A$184,MATCH($E118,Cards!$L$2:$L$184,0)),"")</x:f>
        <x:v>4</x:v>
      </x:c>
      <x:c r="D118" s="36" t="str">
        <x:f>IF(C118="","NO PLAYABLE MATCH",IF(C118=B118,"MATCH","REVIEW"))</x:f>
        <x:v>MATCH</x:v>
      </x:c>
      <x:c r="E118" s="36" t="str">
        <x:v>c113</x:v>
      </x:c>
      <x:c r="F118" s="9" t="str">
        <x:v>Kite</x:v>
      </x:c>
      <x:c r="G118" s="9" t="str">
        <x:v>Magic</x:v>
      </x:c>
      <x:c r="H118" s="9" t="str">
        <x:v>HxH</x:v>
      </x:c>
      <x:c r="I118" s="9" t="str">
        <x:v>Kite, Hunter x Hunter 2011 anime, Chimera Ant arc</x:v>
      </x:c>
      <x:c r="J118" s="9" t="n">
        <x:v>1</x:v>
      </x:c>
      <x:c r="K118" s="9" t="str">
        <x:v>Crazy Slots roll #4 produces a carbine used to kill Yunju; roll #2 produces a huge scythe whose Silent Waltz wipes out an entire group of Chimera Ants in one sweeping attack. Kite is skilled enough that Gon/Killua rely on him as their superior hunter until Neferpitou overwhelms him.</x:v>
      </x:c>
      <x:c r="L118" s="9" t="str">
        <x:v>Strong professional Hunter and capable Nen combatant, but Neferpitou kills him after severing an arm; his death/reincarnation should not be mistaken for combat immortality.</x:v>
      </x:c>
      <x:c r="M118" s="9" t="str">
        <x:v>Crazy Slots randomly selects one of nine weapons and Kite cannot freely choose or dismiss a bad roll until it is used. Only a few weapon functions are actually revealed on screen.</x:v>
      </x:c>
      <x:c r="N118" s="9" t="str">
        <x:v>Crazy Slots conjured weapon roulette; giant scythe/Silent Waltz; carbine; Nen reinforcement and sensing; elite survival/hunting skill.</x:v>
      </x:c>
      <x:c r="O118" s="9" t="str">
        <x:v>Hunter x Hunter (2011) Chimera Ant arc, especially E80–85; https://hunterxhunter.fandom.com/wiki/Kite</x:v>
      </x:c>
    </x:row>
    <x:row r="119">
      <x:c r="A119" s="9" t="str">
        <x:v>Lord Voldemort</x:v>
      </x:c>
      <x:c r="B119" s="36" t="n">
        <x:v>4</x:v>
      </x:c>
      <x:c r="C119" s="36" t="n">
        <x:f>IFERROR(INDEX(Cards!$A$2:$A$184,MATCH($E119,Cards!$L$2:$L$184,0)),"")</x:f>
        <x:v>4</x:v>
      </x:c>
      <x:c r="D119" s="36" t="str">
        <x:f>IF(C119="","NO PLAYABLE MATCH",IF(C119=B119,"MATCH","REVIEW"))</x:f>
        <x:v>MATCH</x:v>
      </x:c>
      <x:c r="E119" s="36" t="str">
        <x:v>c114</x:v>
      </x:c>
      <x:c r="F119" s="9" t="str">
        <x:v>Lord Voldemort</x:v>
      </x:c>
      <x:c r="G119" s="9" t="str">
        <x:v>Magic</x:v>
      </x:c>
      <x:c r="H119" s="9" t="str">
        <x:v>Harry Potter</x:v>
      </x:c>
      <x:c r="I119" s="9" t="str">
        <x:v>Lord Voldemort, Harry Potter film continuity, restored body at Order of the Phoenix-era prime with yew wand and intact Horcrux network</x:v>
      </x:c>
      <x:c r="J119" s="9" t="n">
        <x:v>1</x:v>
      </x:c>
      <x:c r="K119" s="9" t="str">
        <x:v>Duels Dumbledore at the Ministry with Killing Curses, teleport-like Apparition, a giant fire serpent and rapid spell exchanges; possesses Harry, performs powerful Legilimency, flies unaided in later films and repeatedly kills skilled witches/wizards.</x:v>
      </x:c>
      <x:c r="L119" s="9" t="str">
        <x:v>Film Voldemort is one of the setting's two premier duelists but does not decisively defeat Dumbledore. Horcruxes make final death extremely difficult while intact, yet do not make his active body invulnerable.</x:v>
      </x:c>
      <x:c r="M119" s="9" t="str">
        <x:v>Avada Kedavra can be dodged/blocked by specific magical means and wand interactions matter. Destroying his body can incapacitate him even with Horcruxes; restoration then requires external ritual/help. The Elder Wand is excluded because it never truly accepts him as master.</x:v>
      </x:c>
      <x:c r="N119" s="9" t="str">
        <x:v>Avada Kedavra; Apparition/flight; telekinesis; fire/serpent conjuration; possession; Legilimency; shields/counters; Horcrux soul anchors; broad Dark Arts.</x:v>
      </x:c>
      <x:c r="O119" s="9" t="str">
        <x:v>Harry Potter and the Order of the Phoenix (2007); Deathly Hallows films; official duel overview https://www.harrypotter.com/features/ranked-most-significant-wizarding-world-duels</x:v>
      </x:c>
    </x:row>
    <x:row r="120">
      <x:c r="A120" s="9" t="str">
        <x:v>Morpheus</x:v>
      </x:c>
      <x:c r="B120" s="36" t="n">
        <x:v>4</x:v>
      </x:c>
      <x:c r="C120" s="36" t="n">
        <x:f>IFERROR(INDEX(Cards!$A$2:$A$184,MATCH($E120,Cards!$L$2:$L$184,0)),"")</x:f>
        <x:v>4</x:v>
      </x:c>
      <x:c r="D120" s="36" t="str">
        <x:f>IF(C120="","NO PLAYABLE MATCH",IF(C120=B120,"MATCH","REVIEW"))</x:f>
        <x:v>MATCH</x:v>
      </x:c>
      <x:c r="E120" s="36" t="str">
        <x:v>c054</x:v>
      </x:c>
      <x:c r="F120" s="9" t="str">
        <x:v>Morpheus</x:v>
      </x:c>
      <x:c r="G120" s="9" t="str">
        <x:v>Tech</x:v>
      </x:c>
      <x:c r="H120" s="9" t="str">
        <x:v>Matrix</x:v>
      </x:c>
      <x:c r="I120" s="9" t="str">
        <x:v>Morpheus, The Matrix Reloaded era; Matrix-enhanced abilities active in all environments by House Rule</x:v>
      </x:c>
      <x:c r="J120" s="9" t="n">
        <x:v>1</x:v>
      </x:c>
      <x:c r="K120" s="9" t="str">
        <x:v>Performs superhuman jumps, strength and martial-arts feats, fights upgraded Agent Johnson atop a moving truck, uses a katana and firearms against Agents/Twins and survives the freeway battle despite the Agent's superior raw stats. By House Rule, this Matrix-enhanced physical capability persists outside the simulation.</x:v>
      </x:c>
      <x:c r="L120" s="9" t="str">
        <x:v>An elite redpill fighter whose physical skill and Matrix-enhanced movement let him contest superhuman programs for periods, although upgraded Agents remain above him. The House Rule removes his normal real-world power drop but does not grant Neo's unique Source/code authority.</x:v>
      </x:c>
      <x:c r="M120" s="9" t="str">
        <x:v>Still lacks Neo-level reality manipulation and remains weaker than upgraded Agents in direct physical exchanges. Firearms and melee weapons have finite reach/ammunition, and sufficiently stronger superhumans can overpower him.</x:v>
      </x:c>
      <x:c r="N120" s="9" t="str">
        <x:v>Matrix-enhanced speed/strength/agility in all environments by House Rule; master martial arts; firearms; swordsmanship; simulation/code awareness; vehicle tactics.</x:v>
      </x:c>
      <x:c r="O120" s="9" t="str">
        <x:v>The Matrix (1999); The Matrix Reloaded (2003); Rules sheet, House Rules; https://www.warnerbros.com/movies/matrix-reloaded</x:v>
      </x:c>
    </x:row>
    <x:row r="121">
      <x:c r="A121" s="9" t="str">
        <x:v>Motoko Kusanagi</x:v>
      </x:c>
      <x:c r="B121" s="36" t="n">
        <x:v>4</x:v>
      </x:c>
      <x:c r="C121" s="36" t="n">
        <x:f>IFERROR(INDEX(Cards!$A$2:$A$184,MATCH($E121,Cards!$L$2:$L$184,0)),"")</x:f>
        <x:v>4</x:v>
      </x:c>
      <x:c r="D121" s="36" t="str">
        <x:f>IF(C121="","NO PLAYABLE MATCH",IF(C121=B121,"MATCH","REVIEW"))</x:f>
        <x:v>MATCH</x:v>
      </x:c>
      <x:c r="E121" s="36" t="str">
        <x:v>c181</x:v>
      </x:c>
      <x:c r="F121" s="9" t="str">
        <x:v>Motoko Kusanagi</x:v>
      </x:c>
      <x:c r="G121" s="9" t="str">
        <x:v>Tech</x:v>
      </x:c>
      <x:c r="H121" s="9" t="str">
        <x:v>Ghost in the Shell</x:v>
      </x:c>
      <x:c r="I121" s="9" t="str">
        <x:v>Motoko Kusanagi, Ghost in the Shell: Stand Alone Complex / 2nd GIG screen continuity</x:v>
      </x:c>
      <x:c r="J121" s="9" t="n">
        <x:v>1</x:v>
      </x:c>
      <x:c r="K121" s="9" t="str">
        <x:v>Operates a top-class full cybernetic body, repeatedly wins high-speed gunfights and close combat against cyborgs, infiltrates hardened facilities, performs precision sniping/assault work and hacks cyberbrains/networks while leading Section 9.</x:v>
      </x:c>
      <x:c r="L121" s="9" t="str">
        <x:v>Chosen over the 1995-film Major because Stand Alone Complex gives a broader, combat-optimized body and sustained feat set. She is among Section 9's best physical and cyberwarfare operators but not a heavy battlefield vehicle.</x:v>
      </x:c>
      <x:c r="M121" s="9" t="str">
        <x:v>Full cyberization creates hacking/EMP/network risks; sufficiently heavy weapons can destroy a body even if her ghost/data survives elsewhere. Ammunition and thermoptic-camouflage effectiveness are finite/contextual.</x:v>
      </x:c>
      <x:c r="N121" s="9" t="str">
        <x:v>Full-body cyborg strength/speed/reflexes; cyberbrain hacking; thermoptic camouflage; enhanced senses/aim; firearms/sniping; network intrusion; remote-body/decoy interaction.</x:v>
      </x:c>
      <x:c r="O121" s="9" t="str">
        <x:v>Ghost in the Shell: Stand Alone Complex / 2nd GIG; official profile https://theghostintheshell.jp/en/series/stand_alone_complex</x:v>
      </x:c>
    </x:row>
    <x:row r="122">
      <x:c r="A122" s="9" t="str">
        <x:v>Musashi</x:v>
      </x:c>
      <x:c r="B122" s="36" t="n">
        <x:v>4</x:v>
      </x:c>
      <x:c r="C122" s="36" t="n">
        <x:f>IFERROR(INDEX(Cards!$A$2:$A$184,MATCH($E122,Cards!$L$2:$L$184,0)),"")</x:f>
        <x:v>4</x:v>
      </x:c>
      <x:c r="D122" s="36" t="str">
        <x:f>IF(C122="","NO PLAYABLE MATCH",IF(C122=B122,"MATCH","REVIEW"))</x:f>
        <x:v>MATCH</x:v>
      </x:c>
      <x:c r="E122" s="36" t="str">
        <x:v>c108</x:v>
      </x:c>
      <x:c r="F122" s="9" t="str">
        <x:v>Musashi</x:v>
      </x:c>
      <x:c r="G122" s="9" t="str">
        <x:v>Nature</x:v>
      </x:c>
      <x:c r="H122" s="9" t="str">
        <x:v>Baki</x:v>
      </x:c>
      <x:c r="I122" s="9" t="str">
        <x:v>Miyamoto Musashi, BAKI-DOU: The Invincible Samurai anime (2026), full two-sword prime</x:v>
      </x:c>
      <x:c r="J122" s="9" t="n">
        <x:v>1</x:v>
      </x:c>
      <x:c r="K122" s="9" t="str">
        <x:v>Kills Sea King Retsu in a lethal duel, fights Pickle, Hanayama, Motobe and Baki across the completed 25-episode anime, and is dangerous enough to briefly clash with Yujiro. His swordsmanship can inflict overwhelming cuts while his visualization alone makes opponents feel being sliced.</x:v>
      </x:c>
      <x:c r="L122" s="9" t="str">
        <x:v>Presented as one of the handful of fighters near Baki/Yujiro territory, but he does not cleanly defeat Yujiro; that confrontation is interrupted. Motobe can defeat/contain him through prepared weapon tactics, showing skill matchup matters.</x:v>
      </x:c>
      <x:c r="M122" s="9" t="str">
        <x:v>Still has a human biological body despite monstrous Baki-level stats. His most lethal output depends on actual swords, while imaginary slashes induce sensation/intimidation rather than automatically causing equivalent physical wounds. Can be surprised by elaborate weapon/prep tactics.</x:v>
      </x:c>
      <x:c r="N122" s="9" t="str">
        <x:v>Niten Ichi-ryu dual-sword mastery; extreme speed/strength/reflexes; predictive killing intent; swordless/imaginary-cut visualization; elite unarmed combat.</x:v>
      </x:c>
      <x:c r="O122" s="9" t="str">
        <x:v>BAKI-DOU: The Invincible Samurai (Netflix, 2026), Parts 1–2; official https://www.netflix.com/title/81922765 ; Netflix guide https://www.netflix.com/tudum/articles/baki-dou-lore-explained</x:v>
      </x:c>
    </x:row>
    <x:row r="123">
      <x:c r="A123" s="9" t="str">
        <x:v>Nine Hashira</x:v>
      </x:c>
      <x:c r="B123" s="36" t="n">
        <x:v>4</x:v>
      </x:c>
      <x:c r="C123" s="36" t="n">
        <x:f>IFERROR(INDEX(Cards!$A$2:$A$184,MATCH($E123,Cards!$L$2:$L$184,0)),"")</x:f>
        <x:v>4</x:v>
      </x:c>
      <x:c r="D123" s="36" t="str">
        <x:f>IF(C123="","NO PLAYABLE MATCH",IF(C123=B123,"MATCH","REVIEW"))</x:f>
        <x:v>MATCH</x:v>
      </x:c>
      <x:c r="E123" s="36" t="str">
        <x:v>c109</x:v>
      </x:c>
      <x:c r="F123" s="9" t="str">
        <x:v>Nine Hashira</x:v>
      </x:c>
      <x:c r="G123" s="9" t="str">
        <x:v>Nature</x:v>
      </x:c>
      <x:c r="H123" s="9" t="str">
        <x:v>Demon Slayer</x:v>
      </x:c>
      <x:c r="I123" s="9" t="str">
        <x:v>Nine Hashira, Demon Slayer anime roster, strongest screen-demonstrated states through Infinity Castle I</x:v>
      </x:c>
      <x:c r="J123" s="9" t="n">
        <x:v>9</x:v>
      </x:c>
      <x:c r="K123" s="9" t="str">
        <x:v>The roster is Giyu, Shinobu, Rengoku, Tengen, Mitsuri, Muichiro, Gyomei, Sanemi and Obanai. Screen feats include Rengoku fighting Akaza, Tengen matching Gyutaro while poisoned, marked Muichiro defeating Gyokko, marked Mitsuri holding off Zohakuten, and marked Giyu fighting Akaza in Infinity Castle I.</x:v>
      </x:c>
      <x:c r="L123" s="9" t="str">
        <x:v>As a group the Hashira massively exceed ordinary Demon Slayers. Source-material peek fills the largest remaining roster gaps: Gyomei and Sanemi fight Upper Rank One Kokushibo at the highest human level, develop bright-red weapons and Gyomei accesses the Transparent World; later Obanai, Giyu, Sanemi and Gyomei continue fighting Muzan, with Obanai also achieving a red blade and briefly the Transparent World. This confirms that several members' true peaks are materially above what Infinity Castle I has yet shown.</x:v>
      </x:c>
      <x:c r="M123" s="9" t="str">
        <x:v>Human bodies require breathing/stamina and can be poisoned, maimed or killed. Demon Slayer Marks boost some members but increase strain and are not demonstrated for every member by the current screen cutoff. Nichirin weapons are central to their anti-demon lethality.</x:v>
      </x:c>
      <x:c r="N123" s="9" t="str">
        <x:v>Nine elite Breathing styles; Nichirin blades; extraordinary speed/strength/senses; Demon Slayer Marks for screen-confirmed members; poison expertise (Shinobu); specialized weapons and team tactics.</x:v>
      </x:c>
      <x:c r="O123" s="9" t="str">
        <x:v>Demon Slayer anime through Hashira Training + Infinity Castle I; official https://kimetsu.com/anime/mugenjyohen_movie/ ; source-material peek: manga Ch. 167–176 (Kokushibo), e.g. https://kimetsu-no-yaiba.fandom.com/wiki/Chapter_173 and https://kimetsu-no-yaiba.fandom.com/wiki/Chapter_175 ; Ch. 184–199 (Muzan), e.g. https://kimetsu-no-yaiba.fandom.com/wiki/Chapter_190 and https://kimetsu-no-yaiba.fandom.com/wiki/Chapter_191</x:v>
      </x:c>
    </x:row>
    <x:row r="124">
      <x:c r="A124" s="9" t="str">
        <x:v>Nyan</x:v>
      </x:c>
      <x:c r="B124" s="36" t="n">
        <x:v>4</x:v>
      </x:c>
      <x:c r="C124" s="36" t="n">
        <x:f>IFERROR(INDEX(Cards!$A$2:$A$184,MATCH($E124,Cards!$L$2:$L$184,0)),"")</x:f>
        <x:v>4</x:v>
      </x:c>
      <x:c r="D124" s="36" t="str">
        <x:f>IF(C124="","NO PLAYABLE MATCH",IF(C124=B124,"MATCH","REVIEW"))</x:f>
        <x:v>MATCH</x:v>
      </x:c>
      <x:c r="E124" s="36" t="str">
        <x:v>c127</x:v>
      </x:c>
      <x:c r="F124" s="9" t="str">
        <x:v>Nyan</x:v>
      </x:c>
      <x:c r="G124" s="9" t="str">
        <x:v>Nature</x:v>
      </x:c>
      <x:c r="H124" s="9" t="str">
        <x:v>OPM</x:v>
      </x:c>
      <x:c r="I124" s="9" t="str">
        <x:v>Nyan, One-Punch Man anime Season 3 screen version; limited manga peek for power bracket</x:v>
      </x:c>
      <x:c r="J124" s="9" t="n">
        <x:v>1</x:v>
      </x:c>
      <x:c r="K124" s="9" t="str">
        <x:v>In the anime, this Dragon-level Monster Association executive slashes Puri-Puri Prisoner, uses extreme feline flexibility to flatten/squeeze through tiny openings and flees Saitama after sensing overwhelming danger. Its fighting style centers on high-speed claws, body compression and surprise attacks.</x:v>
      </x:c>
      <x:c r="L124" s="9" t="str">
        <x:v>Screen evidence establishes Dragon-level executive status but leaves Nyan's ceiling underexplored. Manga peek only: later chapters show Feline Retribution producing slashes that cut through buildings, Nyan entering Drive Knight's body through a gap wider than about 3 mm to attack from within, and Drive Knight needing collected battle data and significant energy expenditure to defeat/capture it. This peek informs the intended power bracket but is not silently counted as an animated feat.</x:v>
      </x:c>
      <x:c r="M124" s="9" t="str">
        <x:v>Cowardly/pragmatic temperament makes Nyan flee opponents it reads as overwhelmingly dangerous. Thin-body infiltration needs an opening, and extreme heat/counters can force it back out. No Boros-level regeneration or large energy projection is shown.</x:v>
      </x:c>
      <x:c r="N124" s="9" t="str">
        <x:v>Extreme feline speed/agility; body compression through ~3 mm openings (manga peek); claws and shockwave/flying slashes; stealth/infiltration; internal-body attack potential; superhuman strength/durability.</x:v>
      </x:c>
      <x:c r="O124" s="9" t="str">
        <x:v>One-Punch Man anime S3; source-material peek: manga Chapters 120–122, Drive Knight vs Nyan https://onepunchman.fandom.com/wiki/Drive_Knight_vs._Nyan ; Nyan abilities https://onepunchman.fandom.com/wiki/Nyan ; Rules sheet, Source-material peek</x:v>
      </x:c>
    </x:row>
    <x:row r="125">
      <x:c r="A125" s="9" t="str">
        <x:v>Pillar Men</x:v>
      </x:c>
      <x:c r="B125" s="36" t="n">
        <x:v>4</x:v>
      </x:c>
      <x:c r="C125" s="36" t="n">
        <x:f>IFERROR(INDEX(Cards!$A$2:$A$184,MATCH($E125,Cards!$L$2:$L$184,0)),"")</x:f>
        <x:v>4</x:v>
      </x:c>
      <x:c r="D125" s="36" t="str">
        <x:f>IF(C125="","NO PLAYABLE MATCH",IF(C125=B125,"MATCH","REVIEW"))</x:f>
        <x:v>MATCH</x:v>
      </x:c>
      <x:c r="E125" s="36" t="str">
        <x:v>c157</x:v>
      </x:c>
      <x:c r="F125" s="9" t="str">
        <x:v>Pillar Men</x:v>
      </x:c>
      <x:c r="G125" s="9" t="str">
        <x:v>Nature</x:v>
      </x:c>
      <x:c r="H125" s="9" t="str">
        <x:v>JoJo</x:v>
      </x:c>
      <x:c r="I125" s="9" t="str">
        <x:v>Pillar Men, JoJo's Bizarre Adventure: Battle Tendency anime; Kars, Esidisi, Wamuu and Santana in base Pillar-Man states</x:v>
      </x:c>
      <x:c r="J125" s="9" t="n">
        <x:v>4</x:v>
      </x:c>
      <x:c r="K125" s="9" t="str">
        <x:v>The four possess overwhelming strength, speed and body control; Santana absorbs humans through contact, Esidisi weaponizes superheated blood, Wamuu uses wind-based Divine Sandstorm/Atmospheric Rift, and Kars uses high-frequency Light Mode blades and outmaneuvers Joseph repeatedly.</x:v>
      </x:c>
      <x:c r="L125" s="9" t="str">
        <x:v>Far above ordinary humans/vampires and generally require Hamon/UV-specific counters. Ultimate Life Form Kars is excluded here because that permanent transformation requires the one-off Red Stone + Stone Mask external artifact combination.</x:v>
      </x:c>
      <x:c r="M125" s="9" t="str">
        <x:v>Sunlight/UV and sufficiently strong Hamon are major weaknesses before Ultimate Kars. They need blood/biomass after long dormancy. Their regeneration/absorption can be overwhelmed by specialized energy or catastrophic environmental damage.</x:v>
      </x:c>
      <x:c r="N125" s="9" t="str">
        <x:v>Extreme regeneration/body manipulation; human absorption; Kars Light Mode; Wamuu wind/vacuum techniques; Esidisi boiling-blood attacks; superhuman senses, strength and speed.</x:v>
      </x:c>
      <x:c r="O125" s="9" t="str">
        <x:v>JoJo's Bizarre Adventure: Battle Tendency anime E10–26; official https://jojo-animation.com/ ; https://jojowiki.com/Pillar_Men</x:v>
      </x:c>
    </x:row>
    <x:row r="126">
      <x:c r="A126" s="9" t="str">
        <x:v>Po</x:v>
      </x:c>
      <x:c r="B126" s="36" t="n">
        <x:v>4</x:v>
      </x:c>
      <x:c r="C126" s="36" t="n">
        <x:f>IFERROR(INDEX(Cards!$A$2:$A$184,MATCH($E126,Cards!$L$2:$L$184,0)),"")</x:f>
        <x:v>4</x:v>
      </x:c>
      <x:c r="D126" s="36" t="str">
        <x:f>IF(C126="","NO PLAYABLE MATCH",IF(C126=B126,"MATCH","REVIEW"))</x:f>
        <x:v>MATCH</x:v>
      </x:c>
      <x:c r="E126" s="36" t="str">
        <x:v>c110</x:v>
      </x:c>
      <x:c r="F126" s="9" t="str">
        <x:v>Po</x:v>
      </x:c>
      <x:c r="G126" s="9" t="str">
        <x:v>Nature</x:v>
      </x:c>
      <x:c r="H126" s="9" t="str">
        <x:v>Kung-Fu Panda</x:v>
      </x:c>
      <x:c r="I126" s="9" t="str">
        <x:v>Po, Kung Fu Panda 4 film-era Dragon Warrior/Spiritual Leader with permanently owned Staff of Wisdom</x:v>
      </x:c>
      <x:c r="J126" s="9" t="n">
        <x:v>1</x:v>
      </x:c>
      <x:c r="K126" s="9" t="str">
        <x:v>Defeats Tai Lung with the Wuxi Finger Hold, masters inner peace enough to redirect Shen's cannonballs, defeats Kai in the Spirit Realm after learning chi, and by KFP4 owns the Staff of Wisdom that can open a gateway to the Spirit Realm.</x:v>
      </x:c>
      <x:c r="L126" s="9" t="str">
        <x:v>His Tai Lung/Shen victories show huge martial growth. The giant golden chi-dragon victory over Kai was fueled by chi voluntarily sent by the panda village/allies, so that specific externally fueled peak is not treated as Po's unaided baseline.</x:v>
      </x:c>
      <x:c r="M126" s="9" t="str">
        <x:v>Staff-based Spirit Realm access requires the staff and can be stolen. Po can still be physically hurt and restrained by peers; Wuxi Finger Hold requires grappling/contact. Full KFP3 village-fed chi amplification is excluded as an external one-off boost.</x:v>
      </x:c>
      <x:c r="N126" s="9" t="str">
        <x:v>Elite kung fu; Wuxi Finger Hold; inner peace/cannonball redirection; chi use; Spirit Realm interaction; high durability and unusual nerve-strike resistance; Staff of Wisdom portal function.</x:v>
      </x:c>
      <x:c r="O126" s="9" t="str">
        <x:v>Kung Fu Panda (2008), Kung Fu Panda 2 (2011), Kung Fu Panda 3 (2016), Kung Fu Panda 4 (2024); official KFP4 https://www.dreamworks.com/movies/kung-fu-panda-4</x:v>
      </x:c>
    </x:row>
    <x:row r="127">
      <x:c r="A127" s="9" t="str">
        <x:v>Ragnaros</x:v>
      </x:c>
      <x:c r="B127" s="36" t="n">
        <x:v>4</x:v>
      </x:c>
      <x:c r="C127" s="36" t="n">
        <x:f>IFERROR(INDEX(Cards!$A$2:$A$184,MATCH($E127,Cards!$L$2:$L$184,0)),"")</x:f>
        <x:v>4</x:v>
      </x:c>
      <x:c r="D127" s="36" t="str">
        <x:f>IF(C127="","NO PLAYABLE MATCH",IF(C127=B127,"MATCH","REVIEW"))</x:f>
        <x:v>MATCH</x:v>
      </x:c>
      <x:c r="E127" s="36" t="str">
        <x:v>c031</x:v>
      </x:c>
      <x:c r="F127" s="9" t="str">
        <x:v>Ragnaros</x:v>
      </x:c>
      <x:c r="G127" s="9" t="str">
        <x:v>Magic</x:v>
      </x:c>
      <x:c r="H127" s="9" t="str">
        <x:v>Hearthstone</x:v>
      </x:c>
      <x:c r="I127" s="9" t="str">
        <x:v>Ragnaros the Firelord, original Hearthstone legendary-card incarnation</x:v>
      </x:c>
      <x:c r="J127" s="9" t="n">
        <x:v>1</x:v>
      </x:c>
      <x:c r="K127" s="9" t="str">
        <x:v>In Hearthstone's defining original card form he is an 8/8 legendary Elemental that cannot attack normally and instead deals 8 damage to a random enemy at the end of its controller's turn.</x:v>
      </x:c>
      <x:c r="L127" s="9" t="str">
        <x:v>Because Origin explicitly says Hearthstone, this entry uses the game's card incarnation rather than importing World of Warcraft raid/lore feats. Numerical card stats are game mechanics, so they are not directly convertible to cross-fiction joules or durability.</x:v>
      </x:c>
      <x:c r="M127" s="9" t="str">
        <x:v>Cannot choose targets with the original card effect and cannot attack normally; effect is turn-based/random. Hearthstone mechanics are highly abstract and make literal physical scaling especially uncertain.</x:v>
      </x:c>
      <x:c r="N127" s="9" t="str">
        <x:v>Fire elemental nature; Sulfuras theme; automatic end-of-turn fire strike to a random enemy in the original card rules.</x:v>
      </x:c>
      <x:c r="O127" s="9" t="str">
        <x:v>Hearthstone original card library https://hearthstone.blizzard.com/en-us/cards/374-ragnaros-the-firelord</x:v>
      </x:c>
    </x:row>
    <x:row r="128">
      <x:c r="A128" s="9" t="str">
        <x:v>Rudeus Greyrat</x:v>
      </x:c>
      <x:c r="B128" s="36" t="n">
        <x:v>4</x:v>
      </x:c>
      <x:c r="C128" s="36" t="n">
        <x:f>IFERROR(INDEX(Cards!$A$2:$A$184,MATCH($E128,Cards!$L$2:$L$184,0)),"")</x:f>
        <x:v>4</x:v>
      </x:c>
      <x:c r="D128" s="36" t="str">
        <x:f>IF(C128="","NO PLAYABLE MATCH",IF(C128=B128,"MATCH","REVIEW"))</x:f>
        <x:v>MATCH</x:v>
      </x:c>
      <x:c r="E128" s="36" t="str">
        <x:v>c179</x:v>
      </x:c>
      <x:c r="F128" s="9" t="str">
        <x:v>Rudeus Greyrat</x:v>
      </x:c>
      <x:c r="G128" s="9" t="str">
        <x:v>Magic</x:v>
      </x:c>
      <x:c r="H128" s="9" t="str">
        <x:v>Mushoku Tensei</x:v>
      </x:c>
      <x:c r="I128" s="9" t="str">
        <x:v>Rudeus Greyrat, Mushoku Tensei anime through Season 3 Episode 11 (Sep. 6, 2026)</x:v>
      </x:c>
      <x:c r="J128" s="9" t="n">
        <x:v>1</x:v>
      </x:c>
      <x:c r="K128" s="9" t="str">
        <x:v>Has enormous mana reserves and chantless casting; earlier survives the Orsted encounter long enough to launch extremely powerful fire/stone magic, fights through the Teleport Labyrinth and Hydra battle, and by S3 learns King-class water magic and receives the Zariff prosthetic hand while retaining his Foresight Eye and broad elemental toolkit.</x:v>
      </x:c>
      <x:c r="L128" s="9" t="str">
        <x:v>Current screen Rudeus is an elite long-range mage. Source-material peek: light-novel Vol. 15 supplies the missing later power jump, where he builds Magic Armor Mk I plus a rapid-fire Stone Cannon/Gatling system and ambushes Orsted hard enough to damage him and force a serious response before Orsted destroys the armor. This future gear is self-developed with allies rather than a temporary borrowed transformation, so it strongly informs Rudeus's intended later combat ceiling, but remains peek-only until animated.</x:v>
      </x:c>
      <x:c r="M128" s="9" t="str">
        <x:v>Human durability is a major vulnerability without barriers/equipment; Foresight Eye can be overloaded by too many possible movements and stronger/faster opponents. His strongest spells require aim/concentration and can cause collateral damage. No future source-material Magic Armor.</x:v>
      </x:c>
      <x:c r="N128" s="9" t="str">
        <x:v>Chantless elemental magic; Stone Cannon/Quagmire; King-class water magic; barriers/healing knowledge; Disturb Magic; Foresight Eye; huge mana pool; Zariff prosthetic arm.</x:v>
      </x:c>
      <x:c r="O128" s="9" t="str">
        <x:v>Mushoku Tensei anime S1–S3 through E11; official https://mushokutensei.jp/ ; source-material peek: Mushoku Tensei Light Novel Vol. 15, Seven Seas https://sevenseasentertainment.com/books/mushoku-tensei-jobless-reincarnation-light-novel-vol-15/ ; detailed battle/equipment summary https://mushokutensei.fandom.com/wiki/Light_Novel_Volume_15/Summary</x:v>
      </x:c>
    </x:row>
    <x:row r="129">
      <x:c r="A129" s="9" t="str">
        <x:v>Sandworm</x:v>
      </x:c>
      <x:c r="B129" s="36" t="n">
        <x:v>4</x:v>
      </x:c>
      <x:c r="C129" s="36" t="n">
        <x:f>IFERROR(INDEX(Cards!$A$2:$A$184,MATCH($E129,Cards!$L$2:$L$184,0)),"")</x:f>
        <x:v>4</x:v>
      </x:c>
      <x:c r="D129" s="36" t="str">
        <x:f>IF(C129="","NO PLAYABLE MATCH",IF(C129=B129,"MATCH","REVIEW"))</x:f>
        <x:v>MATCH</x:v>
      </x:c>
      <x:c r="E129" s="36" t="str">
        <x:v>c006</x:v>
      </x:c>
      <x:c r="F129" s="9" t="str">
        <x:v>Sandworm</x:v>
      </x:c>
      <x:c r="G129" s="9" t="str">
        <x:v>Nature</x:v>
      </x:c>
      <x:c r="H129" s="9" t="str">
        <x:v>Dune</x:v>
      </x:c>
      <x:c r="I129" s="9" t="str">
        <x:v>Sandworm, Dune: Part Two (2024) film, mature Arrakis worm</x:v>
      </x:c>
      <x:c r="J129" s="9" t="n">
        <x:v>1</x:v>
      </x:c>
      <x:c r="K129" s="9" t="str">
        <x:v>A mature sandworm is depicted at roughly hundreds of meters in scale; worms move rapidly beneath open desert, erupt with enough mass to swallow harvesters/large machinery and carry huge numbers of Fremen riders across Arrakis. Their passage violently displaces enormous volumes of sand.</x:v>
      </x:c>
      <x:c r="L129" s="9" t="str">
        <x:v>A colossal environmental predator rather than a precision fighter. Its sheer mass and underground approach make it catastrophic to ground forces and structures on open sand, but it has almost no meaningful anti-air or fine-targeting capability.</x:v>
      </x:c>
      <x:c r="M129" s="9" t="str">
        <x:v>Strongly tied to deep/open sand and attracted by rhythmic vibration. Rocky terrain is inaccessible. Fremen can steer a surfaced worm using hooks that expose sensitive ring-segment tissue. Large size makes it easy to detect once active.</x:v>
      </x:c>
      <x:c r="N129" s="9" t="str">
        <x:v>Mountainous body mass; subterranean movement; swallow/crush attacks; extreme natural armor/heat tolerance; vibration sensing.</x:v>
      </x:c>
      <x:c r="O129" s="9" t="str">
        <x:v>Dune: Part Two (2024); Warner Bros. film; cinematography interview noting ~400 m length / ~40 m width https://www.abc.net.au/news/2024-03-16/dune-part-two-interview-cinematography-greig-fraser/103586412</x:v>
      </x:c>
    </x:row>
    <x:row r="130">
      <x:c r="A130" s="9" t="str">
        <x:v>Sans</x:v>
      </x:c>
      <x:c r="B130" s="36" t="n">
        <x:v>4</x:v>
      </x:c>
      <x:c r="C130" s="36" t="n">
        <x:f>IFERROR(INDEX(Cards!$A$2:$A$184,MATCH($E130,Cards!$L$2:$L$184,0)),"")</x:f>
        <x:v>4</x:v>
      </x:c>
      <x:c r="D130" s="36" t="str">
        <x:f>IF(C130="","NO PLAYABLE MATCH",IF(C130=B130,"MATCH","REVIEW"))</x:f>
        <x:v>MATCH</x:v>
      </x:c>
      <x:c r="E130" s="36" t="str">
        <x:v>c063</x:v>
      </x:c>
      <x:c r="F130" s="9" t="str">
        <x:v>Sans</x:v>
      </x:c>
      <x:c r="G130" s="9" t="str">
        <x:v>Magic</x:v>
      </x:c>
      <x:c r="H130" s="9" t="str">
        <x:v>Undertale</x:v>
      </x:c>
      <x:c r="I130" s="9" t="str">
        <x:v>Sans, Undertale Genocide-route boss encounter</x:v>
      </x:c>
      <x:c r="J130" s="9" t="n">
        <x:v>1</x:v>
      </x:c>
      <x:c r="K130" s="9" t="str">
        <x:v>Dodges every player attack for 22 turns before exhaustion despite having only 1 HP/1 DEF; attacks first, floods the battle box with bones and Gaster Blasters, changes the SOUL to blue for gravity/telekinesis-like movement, inflicts KARMA damage and manipulates turn/interface timing to stall the protagonist.</x:v>
      </x:c>
      <x:c r="L130" s="9" t="str">
        <x:v>The opponent is Genocide-route Frisk at extreme LOVE/EXP progression: immediately beforehand, Frisk destroys Mettaton NEO in a single scripted hit and has already massacred nearly every encountered monster. Sans therefore has an exceptional evasion/reaction showing against a protagonist whose normal landed attacks are overwhelmingly lethal. This is evasion scaling, not proof Sans can tank those attacks.</x:v>
      </x:c>
      <x:c r="M130" s="9" t="str">
        <x:v>A single successful hit kills him; prolonged dodging exhausts him and he eventually falls asleep. KARMA's exact cross-setting behavior and menu/turn manipulation outside Undertale's game-like combat rules remain uncertain.</x:v>
      </x:c>
      <x:c r="N130" s="9" t="str">
        <x:v>SOUL gravity/telekinesis; bone attacks; Gaster Blasters; KARMA damage-over-time; exceptional repeated evasion; attack-first rule; turn/UI manipulation; shortcut/teleport-like movement.</x:v>
      </x:c>
      <x:c r="O130" s="9" t="str">
        <x:v>Undertale (2015), Genocide Sans battle; Undertale Wiki Sans https://undertale.wiki/w/Sans ; battle mechanics https://undertale.wiki/w/Sans/In_battle ; Genocide/Mettaton NEO https://undertale.wiki/w/Genocide_Route</x:v>
      </x:c>
    </x:row>
    <x:row r="131">
      <x:c r="A131" s="9" t="str">
        <x:v>Spider-Man</x:v>
      </x:c>
      <x:c r="B131" s="36" t="n">
        <x:v>4</x:v>
      </x:c>
      <x:c r="C131" s="36" t="n">
        <x:f>IFERROR(INDEX(Cards!$A$2:$A$184,MATCH($E131,Cards!$L$2:$L$184,0)),"")</x:f>
        <x:v>4</x:v>
      </x:c>
      <x:c r="D131" s="36" t="str">
        <x:f>IF(C131="","NO PLAYABLE MATCH",IF(C131=B131,"MATCH","REVIEW"))</x:f>
        <x:v>MATCH</x:v>
      </x:c>
      <x:c r="E131" s="36" t="str">
        <x:v>c035</x:v>
      </x:c>
      <x:c r="F131" s="9" t="str">
        <x:v>Spider-Man</x:v>
      </x:c>
      <x:c r="G131" s="9" t="str">
        <x:v>Nature</x:v>
      </x:c>
      <x:c r="H131" s="9" t="str">
        <x:v>MCU</x:v>
      </x:c>
      <x:c r="I131" s="9" t="str">
        <x:v>Peter Parker / Spider-Man, MCU No Way Home era with Iron Spider/Integrated Suit available</x:v>
      </x:c>
      <x:c r="J131" s="9" t="n">
        <x:v>1</x:v>
      </x:c>
      <x:c r="K131" s="9" t="str">
        <x:v>Stops/redirects heavy vehicles and debris, survives battles with Thanos's forces, catches Cull Obsidian's strike, uses Spider-Sense to fight while his astral form is displaced, traps Doctor Strange in the Mirror Dimension using geometry, and physically defeats Green Goblin in the NWH finale.</x:v>
      </x:c>
      <x:c r="L131" s="9" t="str">
        <x:v>Clearly superhuman and able to hurt/withstand MCU enhanced opponents, but Strange victory is an intelligence/environmental trick rather than magical scaling. Iron Spider improves defense/utility but does not make Peter an Iron Man-level heavy weapons platform.</x:v>
      </x:c>
      <x:c r="M131" s="9" t="str">
        <x:v>Still vulnerable to sufficiently heavy blunt/energy damage and can be overwhelmed emotionally or by multiple peers. Web fluid is finite. Iron Spider nanotech can be stripped/hacked; no symbiote or later hypothetical gear is included.</x:v>
      </x:c>
      <x:c r="N131" s="9" t="str">
        <x:v>Spider-Sense; super strength/agility/durability; wall crawling; web shooters; Iron Spider extra limbs/armor; enhanced reflexes; rapid healing; scientific intelligence.</x:v>
      </x:c>
      <x:c r="O131" s="9" t="str">
        <x:v>Spider-Man: Homecoming (2017); Avengers: Infinity War (2018); Spider-Man: No Way Home (2021); Marvel https://www.marvel.com/characters/spider-man-peter-parker/on-screen</x:v>
      </x:c>
    </x:row>
    <x:row r="132">
      <x:c r="A132" s="9" t="str">
        <x:v>Wall of Flesh</x:v>
      </x:c>
      <x:c r="B132" s="36" t="n">
        <x:v>4</x:v>
      </x:c>
      <x:c r="C132" s="36" t="n">
        <x:f>IFERROR(INDEX(Cards!$A$2:$A$184,MATCH($E132,Cards!$L$2:$L$184,0)),"")</x:f>
        <x:v>4</x:v>
      </x:c>
      <x:c r="D132" s="36" t="str">
        <x:f>IF(C132="","NO PLAYABLE MATCH",IF(C132=B132,"MATCH","REVIEW"))</x:f>
        <x:v>MATCH</x:v>
      </x:c>
      <x:c r="E132" s="36" t="str">
        <x:v>c122</x:v>
      </x:c>
      <x:c r="F132" s="9" t="str">
        <x:v>Wall of Flesh</x:v>
      </x:c>
      <x:c r="G132" s="9" t="str">
        <x:v>Nature</x:v>
      </x:c>
      <x:c r="H132" s="9" t="str">
        <x:v>Terraria</x:v>
      </x:c>
      <x:c r="I132" s="9" t="str">
        <x:v>Wall of Flesh, Terraria game boss, difficulty-agnostic canonical mechanics</x:v>
      </x:c>
      <x:c r="J132" s="9" t="n">
        <x:v>1</x:v>
      </x:c>
      <x:c r="K132" s="9" t="str">
        <x:v>The giant Underworld wall advances relentlessly across the world, attacks with scaling eye lasers and Hungry mouths/leeches, pulls fleeing players back toward it, and its defeat permanently releases the ancient spirits of light and dark and begins Hardmode.</x:v>
      </x:c>
      <x:c r="L132" s="9" t="str">
        <x:v>Final pre-Hardmode boss and the world's guardian/core barrier, but Terraria item/stat numbers vary by difficulty and should not be converted literally to real-world energy. Its main evidence is boss mechanics and progression role.</x:v>
      </x:c>
      <x:c r="M132" s="9" t="str">
        <x:v>Confined to continuous forward movement and exposes specific damageable eyes/mouths. Speed/laser rate rise as health falls. It is normally summoned in the Underworld, but summoning/location-entry requirements are ignored once battle begins.</x:v>
      </x:c>
      <x:c r="N132" s="9" t="str">
        <x:v>Massive body-wall; eye lasers; Hungry/Leech minions; forced pull/tongue; escalating speed/attack rate; world-state seal whose death releases Hardmode.</x:v>
      </x:c>
      <x:c r="O132" s="9" t="str">
        <x:v>Terraria; official wiki https://terraria.wiki.gg/wiki/Wall_of_Flesh</x:v>
      </x:c>
    </x:row>
    <x:row r="133">
      <x:c r="A133" s="9" t="str">
        <x:v>Xenomorph Queen</x:v>
      </x:c>
      <x:c r="B133" s="36" t="n">
        <x:v>4</x:v>
      </x:c>
      <x:c r="C133" s="36" t="n">
        <x:f>IFERROR(INDEX(Cards!$A$2:$A$184,MATCH($E133,Cards!$L$2:$L$184,0)),"")</x:f>
        <x:v>4</x:v>
      </x:c>
      <x:c r="D133" s="36" t="str">
        <x:f>IF(C133="","NO PLAYABLE MATCH",IF(C133=B133,"MATCH","REVIEW"))</x:f>
        <x:v>MATCH</x:v>
      </x:c>
      <x:c r="E133" s="36" t="str">
        <x:v>c182</x:v>
      </x:c>
      <x:c r="F133" s="9" t="str">
        <x:v>Xenomorph Queen</x:v>
      </x:c>
      <x:c r="G133" s="9" t="str">
        <x:v>Nature</x:v>
      </x:c>
      <x:c r="H133" s="9" t="str">
        <x:v>Alien</x:v>
      </x:c>
      <x:c r="I133" s="9" t="str">
        <x:v>Xenomorph Queen, Aliens (1986) film incarnation</x:v>
      </x:c>
      <x:c r="J133" s="9" t="n">
        <x:v>1</x:v>
      </x:c>
      <x:c r="K133" s="9" t="str">
        <x:v>Much larger and stronger than normal Xenomorphs; tears free of her egg-laying apparatus, chases Ripley through the colony/ship, survives heavy trauma and fights Ripley in a powered loader before being expelled through an airlock.</x:v>
      </x:c>
      <x:c r="L133" s="9" t="str">
        <x:v>Physically superior to ordinary drones/warriors and able to overpower a human-scale loader in grappling exchanges, but industrial machinery and vacuum exposure can defeat/remove her.</x:v>
      </x:c>
      <x:c r="M133" s="9" t="str">
        <x:v>Large target with no ranged weapon. When attached to the ovipositor her mobility is severely reduced; she can detach at the cost of abandoning egg production. Acid blood is dangerous to attackers but does not prevent lethal bodily damage.</x:v>
      </x:c>
      <x:c r="N133" s="9" t="str">
        <x:v>Extreme alien strength/durability; claws/tail/inner jaw; acidic blood; egg production/hive command; wall/ceiling mobility once detached; high predatory intelligence.</x:v>
      </x:c>
      <x:c r="O133" s="9" t="str">
        <x:v>Aliens (1986); franchise official https://www.20thcenturystudios.com/movies/aliens ; https://avp.fandom.com/wiki/Queen</x:v>
      </x:c>
    </x:row>
    <x:row r="134">
      <x:c r="A134" s="9" t="str">
        <x:v>Yubaba</x:v>
      </x:c>
      <x:c r="B134" s="36" t="n">
        <x:v>4</x:v>
      </x:c>
      <x:c r="C134" s="36" t="n">
        <x:f>IFERROR(INDEX(Cards!$A$2:$A$184,MATCH($E134,Cards!$L$2:$L$184,0)),"")</x:f>
        <x:v>4</x:v>
      </x:c>
      <x:c r="D134" s="36" t="str">
        <x:f>IF(C134="","NO PLAYABLE MATCH",IF(C134=B134,"MATCH","REVIEW"))</x:f>
        <x:v>MATCH</x:v>
      </x:c>
      <x:c r="E134" s="36" t="str">
        <x:v>c034</x:v>
      </x:c>
      <x:c r="F134" s="9" t="str">
        <x:v>Yubaba</x:v>
      </x:c>
      <x:c r="G134" s="9" t="str">
        <x:v>Magic</x:v>
      </x:c>
      <x:c r="H134" s="9" t="str">
        <x:v>Spirited Away</x:v>
      </x:c>
      <x:c r="I134" s="9" t="str">
        <x:v>Yubaba, Spirited Away (2001) film</x:v>
      </x:c>
      <x:c r="J134" s="9" t="n">
        <x:v>1</x:v>
      </x:c>
      <x:c r="K134" s="9" t="str">
        <x:v>Magically steals parts of workers' names through contracts to bind/control them, keeps Haku in service, flies by transforming/wrapping into a birdlike form, spits fire, telekinetically pulls/silences Chihiro and governs a bathhouse full of supernatural beings.</x:v>
      </x:c>
      <x:c r="L134" s="9" t="str">
        <x:v>Her control magic is potent against people who enter/sign her contractual system, but the film gives little evidence for direct battle against peer witches or giant monsters. Do not scale her to every spirit merely because she runs the bathhouse.</x:v>
      </x:c>
      <x:c r="M134" s="9" t="str">
        <x:v>Her strongest name-binding requires a signed contract/name relationship and can be broken when the victim remembers the true name. She can be deceived/distracted and has sparse durability/combat-speed feats.</x:v>
      </x:c>
      <x:c r="N134" s="9" t="str">
        <x:v>Name theft/contract binding; telekinesis; silencing spell; fire breath; flight/birdlike transformation; curses/control magic; supernatural perception.</x:v>
      </x:c>
      <x:c r="O134" s="9" t="str">
        <x:v>Spirited Away (2001); https://ghibli.fandom.com/wiki/Yubaba ; film plot https://www.imdb.com/title/tt0245429/plotsummary/</x:v>
      </x:c>
    </x:row>
    <x:row r="135">
      <x:c r="A135" s="9" t="str">
        <x:v>Yujiro</x:v>
      </x:c>
      <x:c r="B135" s="36" t="n">
        <x:v>4</x:v>
      </x:c>
      <x:c r="C135" s="36" t="n">
        <x:f>IFERROR(INDEX(Cards!$A$2:$A$184,MATCH($E135,Cards!$L$2:$L$184,0)),"")</x:f>
        <x:v>4</x:v>
      </x:c>
      <x:c r="D135" s="36" t="str">
        <x:f>IF(C135="","NO PLAYABLE MATCH",IF(C135=B135,"MATCH","REVIEW"))</x:f>
        <x:v>MATCH</x:v>
      </x:c>
      <x:c r="E135" s="36" t="str">
        <x:v>c033</x:v>
      </x:c>
      <x:c r="F135" s="9" t="str">
        <x:v>Yujiro</x:v>
      </x:c>
      <x:c r="G135" s="9" t="str">
        <x:v>Nature</x:v>
      </x:c>
      <x:c r="H135" s="9" t="str">
        <x:v>Baki</x:v>
      </x:c>
      <x:c r="I135" s="9" t="str">
        <x:v>Yujiro Hanma, Baki anime continuity through BAKI-DOU Part 2 (2026)</x:v>
      </x:c>
      <x:c r="J135" s="9" t="n">
        <x:v>1</x:v>
      </x:c>
      <x:c r="K135" s="9" t="str">
        <x:v>Kills a monster-class African elephant barehanded that military weapons failed to stop, remains the setting's acknowledged 'Strongest Creature on Earth,' defeats Baki in their enormous father-son fight while recognizing his growth, and in BAKI-DOU can directly engage Musashi before their fight is interrupted.</x:v>
      </x:c>
      <x:c r="L135" s="9" t="str">
        <x:v>Narratively and repeatedly sits at the top of the animated Baki hierarchy. Musashi is dangerous enough to surprise/test him, but there is no clean screen result proving Musashi above Yujiro.</x:v>
      </x:c>
      <x:c r="M135" s="9" t="str">
        <x:v>Almost no consistent conventional weakness is demonstrated; he can still be affected momentarily by specialized technique/surprise and is biologically human-like enough to require breathing/eating. Avoid literalizing promotional 'speed of light' wording as measured combat speed.</x:v>
      </x:c>
      <x:c r="N135" s="9" t="str">
        <x:v>Demon Back physical amplification; mastery of essentially every martial art; extreme strength/speed/durability/senses; technique copying/adaptation; intimidation and battlefield instinct.</x:v>
      </x:c>
      <x:c r="O135" s="9" t="str">
        <x:v>Baki Hanma (Netflix) + BAKI-DOU: The Invincible Samurai (2026); official character https://baki-anime.jp/character/ ; Netflix lore guide https://www.netflix.com/tudum/articles/baki-dou-lore-explained</x:v>
      </x:c>
    </x:row>
    <x:row r="136">
      <x:c r="A136" s="9" t="str">
        <x:v>Aizawa</x:v>
      </x:c>
      <x:c r="B136" s="36" t="n">
        <x:v>3</x:v>
      </x:c>
      <x:c r="C136" s="36" t="n">
        <x:f>IFERROR(INDEX(Cards!$A$2:$A$184,MATCH($E136,Cards!$L$2:$L$184,0)),"")</x:f>
        <x:v>3</x:v>
      </x:c>
      <x:c r="D136" s="36" t="str">
        <x:f>IF(C136="","NO PLAYABLE MATCH",IF(C136=B136,"MATCH","REVIEW"))</x:f>
        <x:v>MATCH</x:v>
      </x:c>
      <x:c r="E136" s="36" t="str">
        <x:v>c125</x:v>
      </x:c>
      <x:c r="F136" s="9" t="str">
        <x:v>Aizawa</x:v>
      </x:c>
      <x:c r="G136" s="9" t="str">
        <x:v>Magic</x:v>
      </x:c>
      <x:c r="H136" s="9" t="str">
        <x:v>MHA</x:v>
      </x:c>
      <x:c r="I136" s="9" t="str">
        <x:v>Shota Aizawa / Eraser Head, My Hero Academia anime, healthy pre-major-injury prime</x:v>
      </x:c>
      <x:c r="J136" s="9" t="n">
        <x:v>1</x:v>
      </x:c>
      <x:c r="K136" s="9" t="str">
        <x:v>Erases opponents' Quirks by maintaining sight, neutralizing numerous USJ villains and repeatedly enabling allies against otherwise overwhelming Quirk users; combines Erasure with exceptional capture-cloth martial arts and close-quarters skill.</x:v>
      </x:c>
      <x:c r="L136" s="9" t="str">
        <x:v>Extremely dangerous as a matchup counter to Quirk-dependent opponents, but Erasure does not give him the target's physical stats and does not erase purely physical mutations. Under standardized power systems, it can interact with analogous activated supernatural abilities, but not automatically delete innate biology.</x:v>
      </x:c>
      <x:c r="M136" s="9" t="str">
        <x:v>Erasure ends when he blinks/closes his eyes or loses visual contact; dry eye limits continuous use. Mutant-type/biological traits remain physically present. His body is highly trained but fundamentally human and vulnerable to superhuman force.</x:v>
      </x:c>
      <x:c r="N136" s="9" t="str">
        <x:v>Erasure/nullification; capture weapon; acrobatics; hand-to-hand combat; tactical observation; goggles to obscure his gaze target.</x:v>
      </x:c>
      <x:c r="O136" s="9" t="str">
        <x:v>My Hero Academia anime; official profile https://www.ytv.co.jp/heroaca/character/aizawa/ ; Erasure mechanics https://myheroacademia.fandom.com/wiki/Erasure</x:v>
      </x:c>
    </x:row>
    <x:row r="137">
      <x:c r="A137" s="9" t="str">
        <x:v>Dabi</x:v>
      </x:c>
      <x:c r="B137" s="36" t="n">
        <x:v>3</x:v>
      </x:c>
      <x:c r="C137" s="36" t="n">
        <x:f>IFERROR(INDEX(Cards!$A$2:$A$184,MATCH($E137,Cards!$L$2:$L$184,0)),"")</x:f>
        <x:v>3</x:v>
      </x:c>
      <x:c r="D137" s="36" t="str">
        <x:f>IF(C137="","NO PLAYABLE MATCH",IF(C137=B137,"MATCH","REVIEW"))</x:f>
        <x:v>MATCH</x:v>
      </x:c>
      <x:c r="E137" s="36" t="str">
        <x:v>c129</x:v>
      </x:c>
      <x:c r="F137" s="9" t="str">
        <x:v>Dabi</x:v>
      </x:c>
      <x:c r="G137" s="9" t="str">
        <x:v>Magic</x:v>
      </x:c>
      <x:c r="H137" s="9" t="str">
        <x:v>MHA</x:v>
      </x:c>
      <x:c r="I137" s="9" t="str">
        <x:v>Dabi / Toya Todoroki, My Hero Academia anime final-war peak</x:v>
      </x:c>
      <x:c r="J137" s="9" t="n">
        <x:v>1</x:v>
      </x:c>
      <x:c r="K137" s="9" t="str">
        <x:v>Blueflame produces heat exceeding Endeavor's; survives fighting Shoto despite catastrophic self-burning, copies Shoto's Phosphor principle after seeing it, later manifests latent ice while his body is near destruction, and compresses enough heat that heroes warn of a multi-kilometer catastrophic explosion if he detonates.</x:v>
      </x:c>
      <x:c r="L137" s="9" t="str">
        <x:v>Offensive heat output is among the highest firepower in the Todoroki family, but his body is disastrously mismatched to his Quirk. His endgame peak is therefore huge output with rapidly collapsing survivability, not stable all-around power.</x:v>
      </x:c>
      <x:c r="M137" s="9" t="str">
        <x:v>Own flames burn and destroy his body; prolonged maximum output causes progressive necrosis and a potentially suicidal explosion. Final-war survival is driven by obsession and latent ice but does not make him normally heatproof.</x:v>
      </x:c>
      <x:c r="N137" s="9" t="str">
        <x:v>Blueflame; enormous thermal/fire projection; Flashfire-style techniques; copied Phosphor; latent ice/cooling; wide-area self-destructive heat accumulation.</x:v>
      </x:c>
      <x:c r="O137" s="9" t="str">
        <x:v>My Hero Academia S6–Final Season; final-war reference https://myheroacademia.fandom.com/wiki/Final_War ; official Final Season episodes https://heroaca.com/episodes/final/</x:v>
      </x:c>
    </x:row>
    <x:row r="138">
      <x:c r="A138" s="9" t="str">
        <x:v>Darkwing</x:v>
      </x:c>
      <x:c r="B138" s="36" t="n">
        <x:v>3</x:v>
      </x:c>
      <x:c r="C138" s="36" t="n">
        <x:f>IFERROR(INDEX(Cards!$A$2:$A$184,MATCH($E138,Cards!$L$2:$L$184,0)),"")</x:f>
        <x:v>3</x:v>
      </x:c>
      <x:c r="D138" s="36" t="str">
        <x:f>IF(C138="","NO PLAYABLE MATCH",IF(C138=B138,"MATCH","REVIEW"))</x:f>
        <x:v>MATCH</x:v>
      </x:c>
      <x:c r="E138" s="36" t="str">
        <x:v>c123</x:v>
      </x:c>
      <x:c r="F138" s="9" t="str">
        <x:v>Darkwing</x:v>
      </x:c>
      <x:c r="G138" s="9" t="str">
        <x:v>Tech</x:v>
      </x:c>
      <x:c r="H138" s="9" t="str">
        <x:v>Invincible</x:v>
      </x:c>
      <x:c r="I138" s="9" t="str">
        <x:v>Darkwing, original Guardians of the Globe hero, Invincible animated series</x:v>
      </x:c>
      <x:c r="J138" s="9" t="n">
        <x:v>1</x:v>
      </x:c>
      <x:c r="K138" s="9" t="str">
        <x:v>Uses a hoverboard, explosives, grappling equipment, magnetic restraints and suit appendages while fighting high-level criminals with the Guardians; is a skilled peak-human combatant but is killed almost immediately when Omni-Man directly attacks the team.</x:v>
      </x:c>
      <x:c r="L138" s="9" t="str">
        <x:v>Comparable to a high-end gadget vigilante, not to Viltrumites. The later protégé Darkwing II has genuine Shadow-Verse powers and is treated as a different character rather than silently upgrading this card.</x:v>
      </x:c>
      <x:c r="M138" s="9" t="str">
        <x:v>No innate superpowers; human durability. Gadgets can stun or restrain ordinary/some enhanced threats but do little to Omni-Man-class targets. Mobility relies heavily on equipment.</x:v>
      </x:c>
      <x:c r="N138" s="9" t="str">
        <x:v>Explosives; hoverboard; grapple gun; magnetic restraints; utility appendages; stealth/tactics; peak-human martial arts.</x:v>
      </x:c>
      <x:c r="O138" s="9" t="str">
        <x:v>Invincible S1; https://amazon-invincible.fandom.com/wiki/Darkwing ; Guardians roster https://amazon-invincible.fandom.com/wiki/Guardians_of_the_Globe</x:v>
      </x:c>
    </x:row>
    <x:row r="139">
      <x:c r="A139" s="9" t="str">
        <x:v>Deep Sea King</x:v>
      </x:c>
      <x:c r="B139" s="36" t="n">
        <x:v>3</x:v>
      </x:c>
      <x:c r="C139" s="36" t="n">
        <x:f>IFERROR(INDEX(Cards!$A$2:$A$184,MATCH($E139,Cards!$L$2:$L$184,0)),"")</x:f>
        <x:v>3</x:v>
      </x:c>
      <x:c r="D139" s="36" t="str">
        <x:f>IF(C139="","NO PLAYABLE MATCH",IF(C139=B139,"MATCH","REVIEW"))</x:f>
        <x:v>MATCH</x:v>
      </x:c>
      <x:c r="E139" s="36" t="str">
        <x:v>c039</x:v>
      </x:c>
      <x:c r="F139" s="9" t="str">
        <x:v>Deep Sea King</x:v>
      </x:c>
      <x:c r="G139" s="9" t="str">
        <x:v>Nature</x:v>
      </x:c>
      <x:c r="H139" s="9" t="str">
        <x:v>OPM</x:v>
      </x:c>
      <x:c r="I139" s="9" t="str">
        <x:v>Deep Sea King, One-Punch Man anime S1, hydrated form</x:v>
      </x:c>
      <x:c r="J139" s="9" t="n">
        <x:v>1</x:v>
      </x:c>
      <x:c r="K139" s="9" t="str">
        <x:v>Defeats Puri-Puri Prisoner, survives substantial punishment, regenerates after damage, overpowers Genos after being rehydrated by rain, and becomes larger/faster/stronger in hydrated form before Saitama kills him with one punch.</x:v>
      </x:c>
      <x:c r="L139" s="9" t="str">
        <x:v>Hydrated Deep Sea King is clearly above his dry form and threatens lower S-Class/A-Class heroes, but Saitama's effortless one-shot places him nowhere near the anime's top monsters.</x:v>
      </x:c>
      <x:c r="M139" s="9" t="str">
        <x:v>Significantly weaker when dry/dehydrated. Regeneration is not enough against overwhelming destruction. Acidic spit is dangerous but has limited range and can be dodged.</x:v>
      </x:c>
      <x:c r="N139" s="9" t="str">
        <x:v>Superhuman strength/speed/durability; regeneration; hydrated transformation; acidic/corrosive spit; amphibious physiology.</x:v>
      </x:c>
      <x:c r="O139" s="9" t="str">
        <x:v>One-Punch Man S1E8–9; official anime site https://onepunchman-anime.net/ ; https://onepunchman.fandom.com/wiki/Deep_Sea_King</x:v>
      </x:c>
    </x:row>
    <x:row r="140">
      <x:c r="A140" s="9" t="str">
        <x:v>Eye of Sauron</x:v>
      </x:c>
      <x:c r="B140" s="36" t="n">
        <x:v>3</x:v>
      </x:c>
      <x:c r="C140" s="36" t="n">
        <x:f>IFERROR(INDEX(Cards!$A$2:$A$184,MATCH($E140,Cards!$L$2:$L$184,0)),"")</x:f>
        <x:v>3</x:v>
      </x:c>
      <x:c r="D140" s="36" t="str">
        <x:f>IF(C140="","NO PLAYABLE MATCH",IF(C140=B140,"MATCH","REVIEW"))</x:f>
        <x:v>MATCH</x:v>
      </x:c>
      <x:c r="E140" s="36" t="str">
        <x:v>c037</x:v>
      </x:c>
      <x:c r="F140" s="9" t="str">
        <x:v>Eye of Sauron</x:v>
      </x:c>
      <x:c r="G140" s="9" t="str">
        <x:v>Magic</x:v>
      </x:c>
      <x:c r="H140" s="9" t="str">
        <x:v>Lord of the Rings</x:v>
      </x:c>
      <x:c r="I140" s="9" t="str">
        <x:v>The Eye of Sauron, Peter Jackson Lord of the Rings film trilogy, Barad-dûr manifestation</x:v>
      </x:c>
      <x:c r="J140" s="9" t="n">
        <x:v>1</x:v>
      </x:c>
      <x:c r="K140" s="9" t="str">
        <x:v>Physically manifests as the flaming Eye atop Barad-dûr, sweeps Mordor with a visible searching gaze, appears through palantíri and visions, exerts terrifying psychic pressure and directs Sauron's attention/forces over vast distances.</x:v>
      </x:c>
      <x:c r="L140" s="9" t="str">
        <x:v>This row interprets the literal card name as the film Eye/War-of-the-Ring manifestation, not armored Second-Age Sauron at full physical prime. The Eye is an expression of Sauron, so its strategic perception should not be confused with a conventional laser weapon.</x:v>
      </x:c>
      <x:c r="M140" s="9" t="str">
        <x:v>The Eye's battlefield offense is poorly demonstrated. Its existence/power is bound to Sauron and the One Ring; destroying the Ring causes the Eye to erupt and Barad-dûr to collapse. It can be distracted or fail to notice stealthy targets.</x:v>
      </x:c>
      <x:c r="N140" s="9" t="str">
        <x:v>Long-range supernatural perception; palantír/vision interaction; psychic intimidation/corruption pressure; command/awareness across Mordor; spiritual manifestation.</x:v>
      </x:c>
      <x:c r="O140" s="9" t="str">
        <x:v>The Lord of the Rings film trilogy, especially The Return of the King (2003); https://tolkiengateway.net/wiki/Eye_of_Sauron</x:v>
      </x:c>
    </x:row>
    <x:row r="141">
      <x:c r="A141" s="9" t="str">
        <x:v>Flowey</x:v>
      </x:c>
      <x:c r="B141" s="36" t="n">
        <x:v>3</x:v>
      </x:c>
      <x:c r="C141" s="36" t="n">
        <x:f>IFERROR(INDEX(Cards!$A$2:$A$184,MATCH($E141,Cards!$L$2:$L$184,0)),"")</x:f>
        <x:v>3</x:v>
      </x:c>
      <x:c r="D141" s="36" t="str">
        <x:f>IF(C141="","NO PLAYABLE MATCH",IF(C141=B141,"MATCH","REVIEW"))</x:f>
        <x:v>MATCH</x:v>
      </x:c>
      <x:c r="E141" s="36" t="str">
        <x:v>c161</x:v>
      </x:c>
      <x:c r="F141" s="9" t="str">
        <x:v>Flowey</x:v>
      </x:c>
      <x:c r="G141" s="9" t="str">
        <x:v>Magic</x:v>
      </x:c>
      <x:c r="H141" s="9" t="str">
        <x:v>Undertale</x:v>
      </x:c>
      <x:c r="I141" s="9" t="str">
        <x:v>Base Flowey, no human souls; prime pre-Frisk Determination era</x:v>
      </x:c>
      <x:c r="J141" s="9" t="n">
        <x:v>1</x:v>
      </x:c>
      <x:c r="K141" s="9" t="str">
        <x:v>Before Frisk enters the Underground, Flowey has the greatest Determination there and can SAVE, LOAD and RESET the timeline, repeatedly exploring outcomes and remembering prior timelines. In ordinary encounters he attacks with 'friendliness pellet' bullet patterns and can ambush vulnerable targets.</x:v>
      </x:c>
      <x:c r="L141" s="9" t="str">
        <x:v>His prime base-form strength is temporal hax rather than attack power: SAVE/LOAD lets him retry outcomes while he remains the most determined being present. He loses control of SAVE when Frisk arrives with greater Determination. No Omega Flowey or absorbed-human-SOUL feats are used.</x:v>
      </x:c>
      <x:c r="M141" s="9" t="str">
        <x:v>No human souls; Omega Flowey is excluded. SAVE/LOAD authority belongs to the most determined being in the Underground, so a more determined opponent can supersede it. His physical flower body is weak and can be knocked aside or destroyed; without timeline control his direct offense is modest.</x:v>
      </x:c>
      <x:c r="N141" s="9" t="str">
        <x:v>Determination-based SAVE/LOAD/RESET timeline manipulation; full memory across resets; bullet-pattern 'friendliness pellets'; deception/social manipulation. No human-SOUL reality warping.</x:v>
      </x:c>
      <x:c r="O141" s="9" t="str">
        <x:v>Undertale (2015); SAVE mechanics https://undertale.wiki/w/Reset ; Determination https://undertale.wiki/w/Determination</x:v>
      </x:c>
    </x:row>
    <x:row r="142">
      <x:c r="A142" s="9" t="str">
        <x:v>Giant Crystal</x:v>
      </x:c>
      <x:c r="B142" s="36" t="n">
        <x:v>3</x:v>
      </x:c>
      <x:c r="C142" s="36" t="n">
        <x:f>IFERROR(INDEX(Cards!$A$2:$A$184,MATCH($E142,Cards!$L$2:$L$184,0)),"")</x:f>
        <x:v>3</x:v>
      </x:c>
      <x:c r="D142" s="36" t="str">
        <x:f>IF(C142="","NO PLAYABLE MATCH",IF(C142=B142,"MATCH","REVIEW"))</x:f>
        <x:v>MATCH</x:v>
      </x:c>
      <x:c r="E142" s="36" t="str">
        <x:v>c137</x:v>
      </x:c>
      <x:c r="F142" s="9" t="str">
        <x:v>Giant Crystal</x:v>
      </x:c>
      <x:c r="G142" s="9" t="str">
        <x:v>Magic</x:v>
      </x:c>
      <x:c r="H142" s="9" t="str">
        <x:v>Core</x:v>
      </x:c>
      <x:c r="I142" s="9" t="str">
        <x:v>House benchmark: colossal fortress-grade Giant Magic Crystal core</x:v>
      </x:c>
      <x:c r="J142" s="9" t="n">
        <x:v>1</x:v>
      </x:c>
      <x:c r="K142" s="9" t="str">
        <x:v>A colossal stationary magical crystal whose defining trait is extraordinary structural and magical durability. Its dense crystalline body and passive magical shell are treated as effectively impenetrable to most conventional small arms, artillery and ordinary melee weapons, allowing it to function as a long-lived protected mana reservoir or objective.</x:v>
      </x:c>
      <x:c r="L142" s="9" t="str">
        <x:v>The crystal is ranked primarily through defense rather than offense. Its durability is intentionally much higher than an ordinary building or mineral formation, but it does not receive invented city-destroying beams or artillery-scale attack power.</x:v>
      </x:c>
      <x:c r="M142" s="9" t="str">
        <x:v>Immobile and incapable of meaningful pursuit. It has only weak defensive magical discharge/repulsion at close range and cannot reliably kill powerful attackers. Extremely high-end supernatural, reality-altering or specialized anti-magic attacks can eventually breach or disable it.</x:v>
      </x:c>
      <x:c r="N142" s="9" t="str">
        <x:v>Extreme crystalline durability; passive magical barrier; enormous mana storage; resistance to conventional penetration/explosives; weak close-range repulsive magical pulse; mana supply/amplification.</x:v>
      </x:c>
      <x:c r="O142" s="9" t="str">
        <x:v>House benchmark for Core card; no external canon source identified.</x:v>
      </x:c>
    </x:row>
    <x:row r="143">
      <x:c r="A143" s="9" t="str">
        <x:v>Giant Tree</x:v>
      </x:c>
      <x:c r="B143" s="36" t="n">
        <x:v>3</x:v>
      </x:c>
      <x:c r="C143" s="36" t="n">
        <x:f>IFERROR(INDEX(Cards!$A$2:$A$184,MATCH($E143,Cards!$L$2:$L$184,0)),"")</x:f>
        <x:v>3</x:v>
      </x:c>
      <x:c r="D143" s="36" t="str">
        <x:f>IF(C143="","NO PLAYABLE MATCH",IF(C143=B143,"MATCH","REVIEW"))</x:f>
        <x:v>MATCH</x:v>
      </x:c>
      <x:c r="E143" s="36" t="str">
        <x:v>c138</x:v>
      </x:c>
      <x:c r="F143" s="9" t="str">
        <x:v>Giant Tree</x:v>
      </x:c>
      <x:c r="G143" s="9" t="str">
        <x:v>Nature</x:v>
      </x:c>
      <x:c r="H143" s="9" t="str">
        <x:v>Core</x:v>
      </x:c>
      <x:c r="I143" s="9" t="str">
        <x:v>House benchmark: 100,000-year-old mountain-height Giant Tree</x:v>
      </x:c>
      <x:c r="J143" s="9" t="n">
        <x:v>1</x:v>
      </x:c>
      <x:c r="K143" s="9" t="str">
        <x:v>A colossal living tree roughly mountain-scale in height, with an ancient root network and extraordinarily dense bark built up over 100,000 years. Massive branches can sweep/crush large areas, roots can erupt and entangle targets, and the trunk is treated as resistant to most ordinary weapons and conventional attempts to cut or burn through it quickly.</x:v>
      </x:c>
      <x:c r="L143" s="9" t="str">
        <x:v>Its threat is overwhelmingly based on gigantic mass, reach and defensive toughness rather than speed. The ancient bark is far tougher than normal wood and the root/trunk mass makes destroying the whole organism a major siege-scale task.</x:v>
      </x:c>
      <x:c r="M143" s="9" t="str">
        <x:v>Essentially stationary at battlefield scale. Fire and explosives that would destroy normal forests are not immediately decisive, but sustained extreme heat, very heavy strategic weapons, deep root destruction or supernatural attacks can eventually kill it. Regeneration is slow relative to fast combat.</x:v>
      </x:c>
      <x:c r="N143" s="9" t="str">
        <x:v>Mountain-scale mass/reach; immensely tough ancient bark; giant root entanglement/crushing; huge branch sweeps; broad root-based sensing; slow biological regeneration; immense resistance to conventional weapons.</x:v>
      </x:c>
      <x:c r="O143" s="9" t="str">
        <x:v>House benchmark for Core card; no external canon source identified.</x:v>
      </x:c>
    </x:row>
    <x:row r="144">
      <x:c r="A144" s="9" t="str">
        <x:v>Godrick the Grafted</x:v>
      </x:c>
      <x:c r="B144" s="36" t="n">
        <x:v>3</x:v>
      </x:c>
      <x:c r="C144" s="36" t="n">
        <x:f>IFERROR(INDEX(Cards!$A$2:$A$184,MATCH($E144,Cards!$L$2:$L$184,0)),"")</x:f>
        <x:v>3</x:v>
      </x:c>
      <x:c r="D144" s="36" t="str">
        <x:f>IF(C144="","NO PLAYABLE MATCH",IF(C144=B144,"MATCH","REVIEW"))</x:f>
        <x:v>MATCH</x:v>
      </x:c>
      <x:c r="E144" s="36" t="str">
        <x:v>c130</x:v>
      </x:c>
      <x:c r="F144" s="9" t="str">
        <x:v>Godrick the Grafted</x:v>
      </x:c>
      <x:c r="G144" s="9" t="str">
        <x:v>Magic</x:v>
      </x:c>
      <x:c r="H144" s="9" t="str">
        <x:v>Elden Ring</x:v>
      </x:c>
      <x:c r="I144" s="9" t="str">
        <x:v>Godrick the Grafted, Elden Ring game, Phase 2 dragon-arm form</x:v>
      </x:c>
      <x:c r="J144" s="9" t="n">
        <x:v>1</x:v>
      </x:c>
      <x:c r="K144" s="9" t="str">
        <x:v>Uses a gigantic grafted body and greataxe to create shockwaves and storm winds; mid-battle grafts a dead dragon's head onto his arm and immediately weaponizes it for sweeping fire breath, grabs and close-range flame attacks.</x:v>
      </x:c>
      <x:c r="L144" s="9" t="str">
        <x:v>A shardbearer/demigod with a Great Rune, but repeatedly mocked as a weak member of the Golden Lineage and positioned as an early major boss. Do not scale him to stronger demigods merely because all hold Great Runes.</x:v>
      </x:c>
      <x:c r="M144" s="9" t="str">
        <x:v>Large and comparatively slow; many attacks have long windups. Dragon graft creates powerful fire offense but is still part of a body that the Tarnished can kill. His grafted physiology is not equivalent to unlimited regeneration.</x:v>
      </x:c>
      <x:c r="N144" s="9" t="str">
        <x:v>Grafting/body augmentation; storm/wind shockwaves; greataxe mastery; dragon-head fire breath; giant strength; Great Rune-enhanced demigod physiology.</x:v>
      </x:c>
      <x:c r="O144" s="9" t="str">
        <x:v>Elden Ring (2022), Godrick boss encounter; official game https://en.bandainamcoent.eu/elden-ring/elden-ring ; https://eldenring.wiki.gg/wiki/Godrick_the_Grafted</x:v>
      </x:c>
    </x:row>
    <x:row r="145">
      <x:c r="A145" s="9" t="str">
        <x:v>Guts</x:v>
      </x:c>
      <x:c r="B145" s="36" t="n">
        <x:v>3</x:v>
      </x:c>
      <x:c r="C145" s="36" t="n">
        <x:f>IFERROR(INDEX(Cards!$A$2:$A$184,MATCH($E145,Cards!$L$2:$L$184,0)),"")</x:f>
        <x:v>3</x:v>
      </x:c>
      <x:c r="D145" s="36" t="str">
        <x:f>IF(C145="","NO PLAYABLE MATCH",IF(C145=B145,"MATCH","REVIEW"))</x:f>
        <x:v>MATCH</x:v>
      </x:c>
      <x:c r="E145" s="36" t="str">
        <x:v>c185</x:v>
      </x:c>
      <x:c r="F145" s="9" t="str">
        <x:v>Guts</x:v>
      </x:c>
      <x:c r="G145" s="9" t="str">
        <x:v>Nature</x:v>
      </x:c>
      <x:c r="H145" s="9" t="str">
        <x:v>Berserk</x:v>
      </x:c>
      <x:c r="I145" s="9" t="str">
        <x:v>Guts, Berserk 2016–2017 anime endgame with Berserker Armor and standard Black Swordsman gear</x:v>
      </x:c>
      <x:c r="J145" s="9" t="n">
        <x:v>1</x:v>
      </x:c>
      <x:c r="K145" s="9" t="str">
        <x:v>With the Berserker Armor, Guts ignores catastrophic pain, has broken bones forcibly braced by the armor, slaughters apostles while already gravely injured, destroys Grunbeld's shield/hammer and cracks the corundum scales of Grunbeld's transformed apostle body. Dragon Slayer routinely cleaves armored humans and supernatural monsters.</x:v>
      </x:c>
      <x:c r="L145" s="9" t="str">
        <x:v>The anime already establishes Berserker Armor Guts against Grunbeld, but the manga gives a much larger endurance/monster-killing benchmark. Source-material peek: during the Sea God arc Guts enters the enormous creature, fights through its internal monsters and incapacitating heartbeat, and with Schierke's guidance makes the final Dragon Slayer strike that cleaves the Sea God's heart. The kill is assisted and targets an internal weak point, so it supports extreme endurance/anti-monster lethality rather than making Guts equal to the Sea God's full external mass.</x:v>
      </x:c>
      <x:c r="M145" s="9" t="str">
        <x:v>Berserker Armor suppresses pain/fear and forces the body to move but can drive him insane, worsen wounds and make him bleed to death. Schierke or another stabilizing influence is often needed to pull him back from the Beast of Darkness. Ammunition for arm cannon/crossbow/bombs is finite.</x:v>
      </x:c>
      <x:c r="N145" s="9" t="str">
        <x:v>Berserker Armor limiter release and bone bracing; Dragon Slayer anti-supernatural greatsword; prosthetic arm cannon; repeating crossbow; throwing knives/bombs; extraordinary swordsmanship, strength, reflexes and endurance.</x:v>
      </x:c>
      <x:c r="O145" s="9" t="str">
        <x:v>Berserk (2016) anime E21–22; Berserker Armor https://berserk.fandom.com/wiki/Berserker_Armor ; source-material peek: Berserk manga E319–327, especially E326 https://berserk.fandom.com/wiki/Episode_326_(Manga) and Fantasia arc summary https://berserk.fandom.com/wiki/Fantasia_Arc</x:v>
      </x:c>
    </x:row>
    <x:row r="146">
      <x:c r="A146" s="9" t="str">
        <x:v>Illumi</x:v>
      </x:c>
      <x:c r="B146" s="36" t="n">
        <x:v>3</x:v>
      </x:c>
      <x:c r="C146" s="36" t="n">
        <x:f>IFERROR(INDEX(Cards!$A$2:$A$184,MATCH($E146,Cards!$L$2:$L$184,0)),"")</x:f>
        <x:v>3</x:v>
      </x:c>
      <x:c r="D146" s="36" t="str">
        <x:f>IF(C146="","NO PLAYABLE MATCH",IF(C146=B146,"MATCH","REVIEW"))</x:f>
        <x:v>MATCH</x:v>
      </x:c>
      <x:c r="E146" s="36" t="str">
        <x:v>c131</x:v>
      </x:c>
      <x:c r="F146" s="9" t="str">
        <x:v>Illumi</x:v>
      </x:c>
      <x:c r="G146" s="9" t="str">
        <x:v>Magic</x:v>
      </x:c>
      <x:c r="H146" s="9" t="str">
        <x:v>HxH</x:v>
      </x:c>
      <x:c r="I146" s="9" t="str">
        <x:v>Illumi Zoldyck, Hunter x Hunter 2011 anime, Election-arc prime</x:v>
      </x:c>
      <x:c r="J146" s="9" t="n">
        <x:v>1</x:v>
      </x:c>
      <x:c r="K146" s="9" t="str">
        <x:v>Uses needles to alter his own appearance, psychologically controls Killua with an implanted needle, turns crowds into disposable Needle People, and pursues Killua/Alluka while remaining a top Zoldyck assassin and dangerous peer/rival to Hisoka.</x:v>
      </x:c>
      <x:c r="L146" s="9" t="str">
        <x:v>Elite assassin with strong Manipulation hax; anime portrayal places him among high-level Hunters but gives few clean destructive feats. Hisoka's interest/rating supports threat level but is not hard proof of equal combat power.</x:v>
      </x:c>
      <x:c r="M146" s="9" t="str">
        <x:v>Direct puppet control requires needles to be inserted into targets; Needle People are sacrificed/overloaded and ordinary targets can be killed by the process. Strong Nen users can resist/avoid needles through speed and defense.</x:v>
      </x:c>
      <x:c r="N146" s="9" t="str">
        <x:v>Needle-based Manipulation; mass human puppetry; appearance/body alteration; disguise; Nen reinforcement; assassination skill; stealth and precision throwing.</x:v>
      </x:c>
      <x:c r="O146" s="9" t="str">
        <x:v>Hunter x Hunter (2011), Hunter Exam/Yorknew/Election arcs; https://hunterxhunter.fandom.com/wiki/Illumi_Zoldyck</x:v>
      </x:c>
    </x:row>
    <x:row r="147">
      <x:c r="A147" s="9" t="str">
        <x:v>Kento Nanami</x:v>
      </x:c>
      <x:c r="B147" s="36" t="n">
        <x:v>3</x:v>
      </x:c>
      <x:c r="C147" s="36" t="n">
        <x:f>IFERROR(INDEX(Cards!$A$2:$A$184,MATCH($E147,Cards!$L$2:$L$184,0)),"")</x:f>
        <x:v>3</x:v>
      </x:c>
      <x:c r="D147" s="36" t="str">
        <x:f>IF(C147="","NO PLAYABLE MATCH",IF(C147=B147,"MATCH","REVIEW"))</x:f>
        <x:v>MATCH</x:v>
      </x:c>
      <x:c r="E147" s="36" t="str">
        <x:v>c132</x:v>
      </x:c>
      <x:c r="F147" s="9" t="str">
        <x:v>Kento Nanami</x:v>
      </x:c>
      <x:c r="G147" s="9" t="str">
        <x:v>Magic</x:v>
      </x:c>
      <x:c r="H147" s="9" t="str">
        <x:v>Jujutsu Kaisen</x:v>
      </x:c>
      <x:c r="I147" s="9" t="str">
        <x:v>Kento Nanami, Jujutsu Kaisen anime, healthy prime with Overtime</x:v>
      </x:c>
      <x:c r="J147" s="9" t="n">
        <x:v>1</x:v>
      </x:c>
      <x:c r="K147" s="9" t="str">
        <x:v>Ratio Technique forcibly creates 7:3 weak points in living or inanimate targets, letting Nanami break Mahito's guarded arm; Overtime raises his cursed-energy output and Collapse destroys the surrounding tunnel. In Shibuya he continues fighting after severe burns before Mahito kills him.</x:v>
      </x:c>
      <x:c r="L147" s="9" t="str">
        <x:v>A model Grade 1 sorcerer: clearly above ordinary curses/sorcerers but below special-grade monsters such as Jogo and generally outmatched by Mahito's soul-based hax without Yuji's special matchup.</x:v>
      </x:c>
      <x:c r="M147" s="9" t="str">
        <x:v>Ratio is primarily close range and still requires landing a strike. Overtime is a binding-vow boost tied to working-hours restrictions; he has no Domain Expansion or reverse-healing technique. Human body can be critically burned/maimed.</x:v>
      </x:c>
      <x:c r="N147" s="9" t="str">
        <x:v>Ratio Technique weak-point creation; Collapse environmental weak point; Overtime cursed-energy boost; Revealing One's Hand vow; cursed-tool melee and exceptional durability/composure.</x:v>
      </x:c>
      <x:c r="O147" s="9" t="str">
        <x:v>Jujutsu Kaisen S1E9–13 and S2 Shibuya; https://jujutsu-kaisen.fandom.com/wiki/Ratio_Technique ; https://jujutsu-kaisen.fandom.com/wiki/Kento_Nanami</x:v>
      </x:c>
    </x:row>
    <x:row r="148">
      <x:c r="A148" s="9" t="str">
        <x:v>Knov</x:v>
      </x:c>
      <x:c r="B148" s="36" t="n">
        <x:v>3</x:v>
      </x:c>
      <x:c r="C148" s="36" t="n">
        <x:f>IFERROR(INDEX(Cards!$A$2:$A$184,MATCH($E148,Cards!$L$2:$L$184,0)),"")</x:f>
        <x:v>3</x:v>
      </x:c>
      <x:c r="D148" s="36" t="str">
        <x:f>IF(C148="","NO PLAYABLE MATCH",IF(C148=B148,"MATCH","REVIEW"))</x:f>
        <x:v>MATCH</x:v>
      </x:c>
      <x:c r="E148" s="36" t="str">
        <x:v>c124</x:v>
      </x:c>
      <x:c r="F148" s="9" t="str">
        <x:v>Knov</x:v>
      </x:c>
      <x:c r="G148" s="9" t="str">
        <x:v>Magic</x:v>
      </x:c>
      <x:c r="H148" s="9" t="str">
        <x:v>HxH</x:v>
      </x:c>
      <x:c r="I148" s="9" t="str">
        <x:v>Knov, Hunter x Hunter 2011 anime, Chimera Ant infiltration prime</x:v>
      </x:c>
      <x:c r="J148" s="9" t="n">
        <x:v>1</x:v>
      </x:c>
      <x:c r="K148" s="9" t="str">
        <x:v>Hide and Seek places portals into a private multi-room Nen mansion, enabling covert transport of people/equipment and creation of an invasion network; Scream forms a portal between his hands that closes around a target and removes the enclosed body section.</x:v>
      </x:c>
      <x:c r="L148" s="9" t="str">
        <x:v>Extremely valuable spatial/support hax but with sparse high-tier combat scaling. His ability makes him strategically stronger than his direct dueling feats suggest.</x:v>
      </x:c>
      <x:c r="M148" s="9" t="str">
        <x:v>Must establish/use entrances and manage portal locations; exact upper size/durability limits of Scream are never tested on top-tier opponents. Extreme exposure to Pitou's aura psychologically breaks his resolve, preventing further frontline combat.</x:v>
      </x:c>
      <x:c r="N148" s="9" t="str">
        <x:v>Hide and Seek pocket-dimension rooms; portal creation/transport; Scream spatial severing/BFR; Nen concealment; infiltration and reconnaissance.</x:v>
      </x:c>
      <x:c r="O148" s="9" t="str">
        <x:v>Hunter x Hunter (2011), Chimera Ant arc; https://hunterxhunter.fandom.com/wiki/Knov</x:v>
      </x:c>
    </x:row>
    <x:row r="149">
      <x:c r="A149" s="9" t="str">
        <x:v>Knuckle</x:v>
      </x:c>
      <x:c r="B149" s="36" t="n">
        <x:v>3</x:v>
      </x:c>
      <x:c r="C149" s="36" t="n">
        <x:f>IFERROR(INDEX(Cards!$A$2:$A$184,MATCH($E149,Cards!$L$2:$L$184,0)),"")</x:f>
        <x:v>3</x:v>
      </x:c>
      <x:c r="D149" s="36" t="str">
        <x:f>IF(C149="","NO PLAYABLE MATCH",IF(C149=B149,"MATCH","REVIEW"))</x:f>
        <x:v>MATCH</x:v>
      </x:c>
      <x:c r="E149" s="36" t="str">
        <x:v>c135</x:v>
      </x:c>
      <x:c r="F149" s="9" t="str">
        <x:v>Knuckle</x:v>
      </x:c>
      <x:c r="G149" s="9" t="str">
        <x:v>Magic</x:v>
      </x:c>
      <x:c r="H149" s="9" t="str">
        <x:v>HxH</x:v>
      </x:c>
      <x:c r="I149" s="9" t="str">
        <x:v>Knuckle Bine, Hunter x Hunter 2011 anime, Chimera Ant arc with Hakoware/A.P.R.</x:v>
      </x:c>
      <x:c r="J149" s="9" t="n">
        <x:v>1</x:v>
      </x:c>
      <x:c r="K149" s="9" t="str">
        <x:v>Knuckle is a physically powerful Beast Hunter who repeatedly spars with Gon, can outrun and evade dangerous Chimera Ants, and lands Hakoware strikes on far stronger opponents such as Youpi. Each successful aura-lending hit attaches A.P.R., which tracks debt and adds compound interest until bankruptcy converts it to I.R.S. and forces Zetsu.</x:v>
      </x:c>
      <x:c r="L149" s="9" t="str">
        <x:v>Knuckle is below Royal Guard-level raw power but survives encounters through speed, judgment and Hakoware's non-damaging debt mechanic. A.P.R. is explicitly indestructible while active, letting Knuckle pressure opponents whose conventional durability greatly exceeds his striking power.</x:v>
      </x:c>
      <x:c r="M149" s="9" t="str">
        <x:v>Hakoware requires Knuckle to land an initial hit and lend aura. Interest accrual depends on its range/conditions, including Knuckle remaining roughly within 50 m. A.P.R. itself causes no physical damage, and reaching bankruptcy can take time against huge aura reserves.</x:v>
      </x:c>
      <x:c r="N149" s="9" t="str">
        <x:v>Hakoware; A.P.R. indestructible aura-debt counter; compound-interest aura debt; I.R.S. forced Zetsu for about 30 days; Nen reinforcement; strong close combat; evasive movement and tactical fighting.</x:v>
      </x:c>
      <x:c r="O149" s="9" t="str">
        <x:v>Hunter x Hunter (2011), Chimera Ant arc; https://hunterxhunter.fandom.com/wiki/Knuckle_Bine ; https://hunterxhunter.fandom.com/wiki/Hakoware</x:v>
      </x:c>
    </x:row>
    <x:row r="150">
      <x:c r="A150" s="9" t="str">
        <x:v>Lu Bu</x:v>
      </x:c>
      <x:c r="B150" s="36" t="n">
        <x:v>3</x:v>
      </x:c>
      <x:c r="C150" s="36" t="n">
        <x:f>IFERROR(INDEX(Cards!$A$2:$A$184,MATCH($E150,Cards!$L$2:$L$184,0)),"")</x:f>
        <x:v>3</x:v>
      </x:c>
      <x:c r="D150" s="36" t="str">
        <x:f>IF(C150="","NO PLAYABLE MATCH",IF(C150=B150,"MATCH","REVIEW"))</x:f>
        <x:v>MATCH</x:v>
      </x:c>
      <x:c r="E150" s="36" t="str">
        <x:v>c149</x:v>
      </x:c>
      <x:c r="F150" s="9" t="str">
        <x:v>Lu Bu</x:v>
      </x:c>
      <x:c r="G150" s="9" t="str">
        <x:v>Nature</x:v>
      </x:c>
      <x:c r="H150" s="9" t="str">
        <x:v>Record of Ragnarok</x:v>
      </x:c>
      <x:c r="I150" s="9" t="str">
        <x:v>Lü Bu, Record of Ragnarok anime Round 1; innate abilities only, Volund weapon's special hax excluded</x:v>
      </x:c>
      <x:c r="J150" s="9" t="n">
        <x:v>1</x:v>
      </x:c>
      <x:c r="K150" s="9" t="str">
        <x:v>Develops Sky Eater through his own training, a halberd swing whose force visibly parts the sky/clouds across a huge distance. In Ragnarok he exchanges blows with Thor, survives the force of Geirröd long enough to keep fighting after shattered legs and displays extreme speed, strength and endurance.</x:v>
      </x:c>
      <x:c r="L150" s="9" t="str">
        <x:v>His direct physical performance against Thor establishes god-tier tournament physicality, while Sky Eater is an intrinsic technique rather than a Valkyrie-granted ability. Randgriz's shield-breaking property is external Volund hax and therefore not added to Lü Bu's own hax.</x:v>
      </x:c>
      <x:c r="M150" s="9" t="str">
        <x:v>His Ragnarok divine weapon is a Valkyrie Volund and is external; without a divine-compatible weapon, his ability to damage highly metaphysical/divine opponents is less certain despite his own enormous physical stats. Red Hare and Lü Bu's army are excluded.</x:v>
      </x:c>
      <x:c r="N150" s="9" t="str">
        <x:v>Sky Eater; immense human strength/speed/endurance; halberd mastery; combat instinct and pain tolerance. No Randgriz shield-breaking hax by default.</x:v>
      </x:c>
      <x:c r="O150" s="9" t="str">
        <x:v>Record of Ragnarok anime S1 E1–5; Netflix https://www.netflix.com/title/81281579 ; Sky Eater/anime E4 reference https://record-of-ragnarok.fandom.com/wiki/Episode_4</x:v>
      </x:c>
    </x:row>
    <x:row r="151">
      <x:c r="A151" s="9" t="str">
        <x:v>Modern Tank</x:v>
      </x:c>
      <x:c r="B151" s="36" t="n">
        <x:v>3</x:v>
      </x:c>
      <x:c r="C151" s="36" t="n">
        <x:f>IFERROR(INDEX(Cards!$A$2:$A$184,MATCH($E151,Cards!$L$2:$L$184,0)),"")</x:f>
        <x:v>3</x:v>
      </x:c>
      <x:c r="D151" s="36" t="str">
        <x:f>IF(C151="","NO PLAYABLE MATCH",IF(C151=B151,"MATCH","REVIEW"))</x:f>
        <x:v>MATCH</x:v>
      </x:c>
      <x:c r="E151" s="36" t="str">
        <x:v>c139</x:v>
      </x:c>
      <x:c r="F151" s="9" t="str">
        <x:v>Modern Tank</x:v>
      </x:c>
      <x:c r="G151" s="9" t="str">
        <x:v>Tech</x:v>
      </x:c>
      <x:c r="H151" s="9" t="str">
        <x:v>Basic</x:v>
      </x:c>
      <x:c r="I151" s="9" t="str">
        <x:v>Generic modern main battle tank benchmark; M1A2 Abrams SEPv3 (2026) used as the reference</x:v>
      </x:c>
      <x:c r="J151" s="9" t="n">
        <x:v>1</x:v>
      </x:c>
      <x:c r="K151" s="9" t="str">
        <x:v>Generic modern main battle tank benchmark using the M1A2 Abrams SEPv3 as the concrete reference. The reference vehicle combines a 120 mm main gun, modern anti-armor and multipurpose ammunition, advanced thermal sights and sensors, remote weapon station, upgraded protection, networking and provision for active protection systems. The Abrams is the reference point for the benchmark, not the card's identity.</x:v>
      </x:c>
      <x:c r="L151" s="9" t="str">
        <x:v>Represents a top-end fielded modern main battle tank rather than a speculative sci-fi vehicle: extremely lethal and well protected in conventional ground combat, but far below strategic weapons and high-end supernatural threats.</x:v>
      </x:c>
      <x:c r="M151" s="9" t="str">
        <x:v>Crewed ground vehicle with finite ammunition/fuel/logistics; vulnerable to top-attack weapons, mines, artillery, drones and sufficiently heavy anti-tank missiles. Terrain/bridges constrain mobility and sensors can be obscured.</x:v>
      </x:c>
      <x:c r="N151" s="9" t="str">
        <x:v>120 mm kinetic/programmable cannon; machine guns/CROWS; advanced thermal optics; composite/reactive armor; active-protection-system provision; networked targeting and battlefield communications.</x:v>
      </x:c>
      <x:c r="O151" s="9" t="str">
        <x:v>U.S. DoD FY2026 Weapons book https://comptroller.defense.gov/Portals/45/Documents/defbudget/FY2026/FY2026_Weapons.pdf ; U.S. Army Abrams program</x:v>
      </x:c>
    </x:row>
    <x:row r="152">
      <x:c r="A152" s="9" t="str">
        <x:v>Morgott, the Omen King</x:v>
      </x:c>
      <x:c r="B152" s="36" t="n">
        <x:v>3</x:v>
      </x:c>
      <x:c r="C152" s="36" t="n">
        <x:f>IFERROR(INDEX(Cards!$A$2:$A$184,MATCH($E152,Cards!$L$2:$L$184,0)),"")</x:f>
        <x:v>3</x:v>
      </x:c>
      <x:c r="D152" s="36" t="str">
        <x:f>IF(C152="","NO PLAYABLE MATCH",IF(C152=B152,"MATCH","REVIEW"))</x:f>
        <x:v>MATCH</x:v>
      </x:c>
      <x:c r="E152" s="36" t="str">
        <x:v>c155</x:v>
      </x:c>
      <x:c r="F152" s="9" t="str">
        <x:v>Morgott, the Omen King</x:v>
      </x:c>
      <x:c r="G152" s="9" t="str">
        <x:v>Magic</x:v>
      </x:c>
      <x:c r="H152" s="9" t="str">
        <x:v>Elden Ring</x:v>
      </x:c>
      <x:c r="I152" s="9" t="str">
        <x:v>Morgott, the Omen King, Elden Ring true Leyndell boss form</x:v>
      </x:c>
      <x:c r="J152" s="9" t="n">
        <x:v>1</x:v>
      </x:c>
      <x:c r="K152" s="9" t="str">
        <x:v>Morgott fights as an extremely fast demigod using his cursed sword, spectral holy daggers, swords, spears and giant hammer; at half health he unleashes cursed blood, bloodflame-infused attacks and a rain of summoned golden blades. He has also operated under the Margit identity to hunt aspiring champions before they reach Leyndell.</x:v>
      </x:c>
      <x:c r="L152" s="9" t="str">
        <x:v>True Morgott is the stronger full version behind the earlier Margit encounters and is a shardbearer who personally defends the Erdtree. Earlier Margit manifestations can be treated as remote/proxy extensions of his reach rather than separate equal-power fighters.</x:v>
      </x:c>
      <x:c r="M152" s="9" t="str">
        <x:v>Margit's Shackle can briefly bind Morgott during the first phase, showing a specific magical counter tied to his Omen imprisonment. He is ultimately killable by the Tarnished and his ranged/spectral attacks still have dodgeable timing and trajectories.</x:v>
      </x:c>
      <x:c r="N152" s="9" t="str">
        <x:v>Cursed Sword and bloodflame; spectral holy daggers/swords/spear/giant hammer; golden blade rain; extreme Omen strength/agility; cursed-blood eruption; Margit-style remote manifestation/possession/proxy appearances.</x:v>
      </x:c>
      <x:c r="O152" s="9" t="str">
        <x:v>Elden Ring (2022), Morgott boss fight and Margit encounters; https://eldenring.wiki.gg/wiki/Morgott ; https://eldenring.wiki.gg/wiki/Margit ; https://eldenring.wiki.gg/wiki/Margit%27s_Shackle</x:v>
      </x:c>
    </x:row>
    <x:row r="153">
      <x:c r="A153" s="9" t="str">
        <x:v>RoboCop</x:v>
      </x:c>
      <x:c r="B153" s="36" t="n">
        <x:v>3</x:v>
      </x:c>
      <x:c r="C153" s="36" t="n">
        <x:f>IFERROR(INDEX(Cards!$A$2:$A$184,MATCH($E153,Cards!$L$2:$L$184,0)),"")</x:f>
        <x:v>3</x:v>
      </x:c>
      <x:c r="D153" s="36" t="str">
        <x:f>IF(C153="","NO PLAYABLE MATCH",IF(C153=B153,"MATCH","REVIEW"))</x:f>
        <x:v>MATCH</x:v>
      </x:c>
      <x:c r="E153" s="36" t="str">
        <x:v>c140</x:v>
      </x:c>
      <x:c r="F153" s="9" t="str">
        <x:v>RoboCop</x:v>
      </x:c>
      <x:c r="G153" s="9" t="str">
        <x:v>Tech</x:v>
      </x:c>
      <x:c r="H153" s="9" t="str">
        <x:v>RoboCop</x:v>
      </x:c>
      <x:c r="I153" s="9" t="str">
        <x:v>RoboCop / Alex Murphy, original 1987 film continuity, standard Auto-9 loadout</x:v>
      </x:c>
      <x:c r="J153" s="9" t="n">
        <x:v>1</x:v>
      </x:c>
      <x:c r="K153" s="9" t="str">
        <x:v>Accurately eliminates armed gangs with near-perfect targeting, punches/throws adult men with cyborg strength, survives sustained small-arms fire and severe ED-209 cannon damage long enough to escape, and continues operating through heavy structural/body damage.</x:v>
      </x:c>
      <x:c r="L153" s="9" t="str">
        <x:v>Far above normal humans in durability, strength and accuracy but not a military vehicle; ED-209's heavy weapons nearly destroy him. This uses the iconic original-film body rather than combining the 2014 reboot or later sequel-specific upgrades.</x:v>
      </x:c>
      <x:c r="M153" s="9" t="str">
        <x:v>Slow compared with agile superhumans; heavy anti-materiel/explosive weapons can penetrate his armor. Organic components and exposed systems remain vulnerable, and Directive 4 can restrict action against protected OCP executives until overcome.</x:v>
      </x:c>
      <x:c r="N153" s="9" t="str">
        <x:v>Cyborg strength/durability; computerized targeting; Auto-9 burst pistol; infrared/recording/data access; armored body; law-enforcement directives.</x:v>
      </x:c>
      <x:c r="O153" s="9" t="str">
        <x:v>RoboCop (1987); official film page https://www.20thcenturystudios.com/movies/robocop ; weapon reference https://www.imfdb.org/wiki/RoboCop_(1987)</x:v>
      </x:c>
    </x:row>
    <x:row r="154">
      <x:c r="A154" s="9" t="str">
        <x:v>Tai Lung</x:v>
      </x:c>
      <x:c r="B154" s="36" t="n">
        <x:v>3</x:v>
      </x:c>
      <x:c r="C154" s="36" t="n">
        <x:f>IFERROR(INDEX(Cards!$A$2:$A$184,MATCH($E154,Cards!$L$2:$L$184,0)),"")</x:f>
        <x:v>3</x:v>
      </x:c>
      <x:c r="D154" s="36" t="str">
        <x:f>IF(C154="","NO PLAYABLE MATCH",IF(C154=B154,"MATCH","REVIEW"))</x:f>
        <x:v>MATCH</x:v>
      </x:c>
      <x:c r="E154" s="36" t="str">
        <x:v>c134</x:v>
      </x:c>
      <x:c r="F154" s="9" t="str">
        <x:v>Tai Lung</x:v>
      </x:c>
      <x:c r="G154" s="9" t="str">
        <x:v>Nature</x:v>
      </x:c>
      <x:c r="H154" s="9" t="str">
        <x:v>Kung-Fu Panda</x:v>
      </x:c>
      <x:c r="I154" s="9" t="str">
        <x:v>Tai Lung, Kung Fu Panda (2008) film</x:v>
      </x:c>
      <x:c r="J154" s="9" t="n">
        <x:v>1</x:v>
      </x:c>
      <x:c r="K154" s="9" t="str">
        <x:v>Escapes Chorh-Gom prison after being restrained for twenty years, defeats roughly a thousand rhino guards, overpowers the Furious Five and then Shifu, uses nerve strikes to paralyze opponents and trades powerful blows with Po before being defeated by the Wuxi Finger Hold.</x:v>
      </x:c>
      <x:c r="L154" s="9" t="str">
        <x:v>Directly superior to the Furious Five as a team in KFP1 and near/above Shifu in a prolonged duel, but Po's unusual body resists his nerve attacks and eventually beats him.</x:v>
      </x:c>
      <x:c r="M154" s="9" t="str">
        <x:v>Nerve strikes are anatomy/contact-dependent and ineffective against Po's unusual fat/body structure. He has no ranged chi attacks or demonstrated resistance to Spirit-Realm BFR/Wuxi Finger Hold.</x:v>
      </x:c>
      <x:c r="N154" s="9" t="str">
        <x:v>Elite kung fu; nerve/pressure-point strikes; extreme strength/speed/agility; wall climbing/leaping; high endurance and tactical combat skill.</x:v>
      </x:c>
      <x:c r="O154" s="9" t="str">
        <x:v>Kung Fu Panda (2008); DreamWorks https://www.dreamworks.com/movies/kung-fu-panda ; https://kungfupanda.fandom.com/wiki/Tai_Lung</x:v>
      </x:c>
    </x:row>
    <x:row r="155">
      <x:c r="A155" s="9" t="str">
        <x:v>Tech Hub</x:v>
      </x:c>
      <x:c r="B155" s="36" t="n">
        <x:v>3</x:v>
      </x:c>
      <x:c r="C155" s="36" t="n">
        <x:f>IFERROR(INDEX(Cards!$A$2:$A$184,MATCH($E155,Cards!$L$2:$L$184,0)),"")</x:f>
        <x:v>3</x:v>
      </x:c>
      <x:c r="D155" s="36" t="str">
        <x:f>IF(C155="","NO PLAYABLE MATCH",IF(C155=B155,"MATCH","REVIEW"))</x:f>
        <x:v>MATCH</x:v>
      </x:c>
      <x:c r="E155" s="36" t="str">
        <x:v>c141</x:v>
      </x:c>
      <x:c r="F155" s="9" t="str">
        <x:v>Tech Hub</x:v>
      </x:c>
      <x:c r="G155" s="9" t="str">
        <x:v>Tech</x:v>
      </x:c>
      <x:c r="H155" s="9" t="str">
        <x:v>Core</x:v>
      </x:c>
      <x:c r="I155" s="9" t="str">
        <x:v>House benchmark: advanced Tech Hub / automated R&amp;D-command complex</x:v>
      </x:c>
      <x:c r="J155" s="9" t="n">
        <x:v>1</x:v>
      </x:c>
      <x:c r="K155" s="9" t="str">
        <x:v>A modern-near-future technology hub is treated as a hardened command, cyberwarfare and rapid-prototyping complex with high-performance computing, dense surveillance/sensor networks, autonomous security drones, counter-drone systems, remote turrets, electronic warfare and on-site robotic fabrication/repair.</x:v>
      </x:c>
      <x:c r="L155" s="9" t="str">
        <x:v>Unlike the Fort card, this benchmark prioritizes information dominance, hacking, drones and production over maximum bunker armor. Its ability to coordinate machines can multiply its battlefield value without making the building itself super-durable.</x:v>
      </x:c>
      <x:c r="M155" s="9" t="str">
        <x:v>Stationary infrastructure dependent on power, networks and hardware; cyber isolation, EMP/electronic attack, precision strikes or physical breach can cripple functions. Drone/ammunition inventories and fabrication rates are finite.</x:v>
      </x:c>
      <x:c r="N155" s="9" t="str">
        <x:v>Cyberwarfare; electronic warfare; AI-assisted surveillance/targeting; autonomous drones; remote defenses; counter-UAS; robotic fabrication/repair; redundant data/communications systems.</x:v>
      </x:c>
      <x:c r="O155" s="9" t="str">
        <x:v>House benchmark for Core card; no external canon source identified. Technology basis aligned with contemporary 2026 military C2/counter-UAS/EW systems.</x:v>
      </x:c>
    </x:row>
    <x:row r="156">
      <x:c r="A156" s="9" t="str">
        <x:v>The Five Convicts</x:v>
      </x:c>
      <x:c r="B156" s="36" t="n">
        <x:v>3</x:v>
      </x:c>
      <x:c r="C156" s="36" t="n">
        <x:f>IFERROR(INDEX(Cards!$A$2:$A$184,MATCH($E156,Cards!$L$2:$L$184,0)),"")</x:f>
        <x:v>3</x:v>
      </x:c>
      <x:c r="D156" s="36" t="str">
        <x:f>IF(C156="","NO PLAYABLE MATCH",IF(C156=B156,"MATCH","REVIEW"))</x:f>
        <x:v>MATCH</x:v>
      </x:c>
      <x:c r="E156" s="36" t="str">
        <x:v>c128</x:v>
      </x:c>
      <x:c r="F156" s="9" t="str">
        <x:v>The Five Convicts</x:v>
      </x:c>
      <x:c r="G156" s="9" t="str">
        <x:v>Nature</x:v>
      </x:c>
      <x:c r="H156" s="9" t="str">
        <x:v>Baki</x:v>
      </x:c>
      <x:c r="I156" s="9" t="str">
        <x:v>Five Death Row Convicts, Baki anime (2018) roster</x:v>
      </x:c>
      <x:c r="J156" s="9" t="n">
        <x:v>5</x:v>
      </x:c>
      <x:c r="K156" s="9" t="str">
        <x:v>Dorian, Doyle, Sikorsky, Spec and Ryuukou Yanagi each escape extreme confinement and wage asymmetric fights across Tokyo: Spec's apnea rush and raw strength devastate structures/targets, Dorian uses hypnosis/explosives/wire, Doyle conceals blades/explosives, Sikorsky has monstrous grip strength, and Yanagi uses poison/Vacuum Palm.</x:v>
      </x:c>
      <x:c r="L156" s="9" t="str">
        <x:v>As individuals they can ambush and injure high-level martial artists, but the arc repeatedly demonstrates that top Baki fighters such as Hanayama, Doppo, Retsu, Jack, Gaia and Baki can defeat them. The five never operate as a disciplined five-man combat squad.</x:v>
      </x:c>
      <x:c r="M156" s="9" t="str">
        <x:v>Poor teamwork and ego; most rely heavily on surprise, dirty weapons or specialized tricks. They remain biologically human enough to be maimed, knocked unconscious or psychologically broken. Several hax techniques require close range/setup.</x:v>
      </x:c>
      <x:c r="N156" s="9" t="str">
        <x:v>Hypnosis; hidden explosives/blades/wire; poison hand; Vacuum Palm; Apnea Rush; extreme grip/climbing; improvised weapons; superhuman martial arts and dirty-fighting tactics.</x:v>
      </x:c>
      <x:c r="O156" s="9" t="str">
        <x:v>BAKI (Netflix, 2018) Most Evil Death Row Convicts arc; https://www.netflix.com/title/80204451 ; individual references https://baki.fandom.com/wiki/Spec and https://baki.fandom.com/wiki/Kaioh_Dorian</x:v>
      </x:c>
    </x:row>
    <x:row r="157">
      <x:c r="A157" s="9" t="str">
        <x:v>Yoriichi Type Zero</x:v>
      </x:c>
      <x:c r="B157" s="36" t="n">
        <x:v>3</x:v>
      </x:c>
      <x:c r="C157" s="36" t="n">
        <x:f>IFERROR(INDEX(Cards!$A$2:$A$184,MATCH($E157,Cards!$L$2:$L$184,0)),"")</x:f>
        <x:v>3</x:v>
      </x:c>
      <x:c r="D157" s="36" t="str">
        <x:f>IF(C157="","NO PLAYABLE MATCH",IF(C157=B157,"MATCH","REVIEW"))</x:f>
        <x:v>MATCH</x:v>
      </x:c>
      <x:c r="E157" s="36" t="str">
        <x:v>c093</x:v>
      </x:c>
      <x:c r="F157" s="9" t="str">
        <x:v>Yoriichi Type Zero</x:v>
      </x:c>
      <x:c r="G157" s="9" t="str">
        <x:v>Tech</x:v>
      </x:c>
      <x:c r="H157" s="9" t="str">
        <x:v>Demon Slayer</x:v>
      </x:c>
      <x:c r="I157" s="9" t="str">
        <x:v>Yoriichi Type Zero, Demon Slayer anime Swordsmith Village arc</x:v>
      </x:c>
      <x:c r="J157" s="9" t="n">
        <x:v>1</x:v>
      </x:c>
      <x:c r="K157" s="9" t="str">
        <x:v>A 300-year-old six-armed mechanical training doll built to approximate Yoriichi Tsugikuni's sword movements; uses six swords and a repertoire of 108 movements fast/complex enough to overwhelm training Tanjiro until he develops predictive smell, and can spar Hashira-level trainees.</x:v>
      </x:c>
      <x:c r="L157" s="9" t="str">
        <x:v>Explicitly an imperfect mechanical imitation: even six arms are said to be insufficient to reproduce the real Yoriichi's movements. Muichiro damages the doll and Tanjiro ultimately breaks it, so it should never inherit Yoriichi's true combat scaling.</x:v>
      </x:c>
      <x:c r="M157" s="9" t="str">
        <x:v>Mechanical, non-adaptive and dependent on its wound-up/training mechanism; movements are a fixed repertoire that can eventually be learned/read. Physical damage accumulates and it cannot regenerate.</x:v>
      </x:c>
      <x:c r="N157" s="9" t="str">
        <x:v>Six-arm/six-sword simultaneous combat; 108 programmed movements; high-speed mechanical swordsmanship; durable training-doll construction.</x:v>
      </x:c>
      <x:c r="O157" s="9" t="str">
        <x:v>Demon Slayer: Swordsmith Village Arc, especially anime E2–3; official series https://demonslayer-anime.com/ ; https://kimetsu-no-yaiba.fandom.com/wiki/Yoriichi_Type_Zero</x:v>
      </x:c>
    </x:row>
    <x:row r="158">
      <x:c r="A158" s="9" t="str">
        <x:v>Batman</x:v>
      </x:c>
      <x:c r="B158" s="36" t="n">
        <x:v>2</x:v>
      </x:c>
      <x:c r="C158" s="36" t="n">
        <x:f>IFERROR(INDEX(Cards!$A$2:$A$184,MATCH($E158,Cards!$L$2:$L$184,0)),"")</x:f>
        <x:v>2</x:v>
      </x:c>
      <x:c r="D158" s="36" t="str">
        <x:f>IF(C158="","NO PLAYABLE MATCH",IF(C158=B158,"MATCH","REVIEW"))</x:f>
        <x:v>MATCH</x:v>
      </x:c>
      <x:c r="E158" s="36" t="str">
        <x:v>c005</x:v>
      </x:c>
      <x:c r="F158" s="9" t="str">
        <x:v>Batman</x:v>
      </x:c>
      <x:c r="G158" s="9" t="str">
        <x:v>Tech</x:v>
      </x:c>
      <x:c r="H158" s="9" t="str">
        <x:v>DCEU</x:v>
      </x:c>
      <x:c r="I158" s="9" t="str">
        <x:v>Batman, DCEU / Zack Snyder's Justice League era; standard field gear</x:v>
      </x:c>
      <x:c r="J158" s="9" t="n">
        <x:v>1</x:v>
      </x:c>
      <x:c r="K158" s="9" t="str">
        <x:v>As a non-metahuman, Batman clears a warehouse of armed mercenaries through martial arts, armor, gadgets and tactical use of the environment; survives brutal impacts and Parademon combat; operates the Batmobile/Batwing and coordinates the Justice League against Steppenwolf's invasion.</x:v>
      </x:c>
      <x:c r="L158" s="9" t="str">
        <x:v>Peak-human rather than superhuman by origin. He can defeat groups of trained gunmen and contribute against Parademons through skill, armor and vehicles, but he does not physically scale to Superman, Wonder Woman or Doomsday. His kryptonite anti-Superman plan is specialized preparation, not default attack power.</x:v>
      </x:c>
      <x:c r="M158" s="9" t="str">
        <x:v>Human biology remains the hard ceiling: bullets, blades and sufficient blunt force can kill him. Standard suit mitigates but does not negate firearms. Specialized anti-Superman armored suit/kryptonite weapons are not assumed as ordinary loadout.</x:v>
      </x:c>
      <x:c r="N158" s="9" t="str">
        <x:v>Elite martial arts; tactical planning; detective/forensic skill; armored Batsuit; grapnel; explosives/smoke; firearms-countermeasures; Batmobile/Batwing access as standard owned vehicles.</x:v>
      </x:c>
      <x:c r="O158" s="9" t="str">
        <x:v>Batman v Superman: Dawn of Justice (2016); Zack Snyder's Justice League (2021); DC Batman profile https://www.dc.com/characters/batman</x:v>
      </x:c>
    </x:row>
    <x:row r="159">
      <x:c r="A159" s="9" t="str">
        <x:v>Bigfoot</x:v>
      </x:c>
      <x:c r="B159" s="36" t="n">
        <x:v>2</x:v>
      </x:c>
      <x:c r="C159" s="36" t="n">
        <x:f>IFERROR(INDEX(Cards!$A$2:$A$184,MATCH($E159,Cards!$L$2:$L$184,0)),"")</x:f>
        <x:v>2</x:v>
      </x:c>
      <x:c r="D159" s="36" t="str">
        <x:f>IF(C159="","NO PLAYABLE MATCH",IF(C159=B159,"MATCH","REVIEW"))</x:f>
        <x:v>MATCH</x:v>
      </x:c>
      <x:c r="E159" s="36" t="str">
        <x:v>c004</x:v>
      </x:c>
      <x:c r="F159" s="9" t="str">
        <x:v>Bigfoot</x:v>
      </x:c>
      <x:c r="G159" s="9" t="str">
        <x:v>Nature</x:v>
      </x:c>
      <x:c r="H159" s="9" t="str">
        <x:v>Myth</x:v>
      </x:c>
      <x:c r="I159" s="9" t="str">
        <x:v>Conservative North American Bigfoot / Sasquatch folklore benchmark</x:v>
      </x:c>
      <x:c r="J159" s="9" t="n">
        <x:v>1</x:v>
      </x:c>
      <x:c r="K159" s="9" t="str">
        <x:v>Treated as a large, powerful forest-dwelling humanoid cryptid roughly in the commonly described 2–4+ meter range, capable of exceptional primate-like strength, long-distance wilderness movement and stealth sufficient to avoid sustained human observation.</x:v>
      </x:c>
      <x:c r="L159" s="9" t="str">
        <x:v>No verified real specimen or single canonical mythology exists, so this card uses a restrained folklore archetype rather than importing feats from films, games or paranormal claims. Strength is assumed above a large human/ape scale, not monster-kaiju scale.</x:v>
      </x:c>
      <x:c r="M159" s="9" t="str">
        <x:v>No demonstrated armor, regeneration, magic or ranged attack. Large biological creature remains vulnerable to firearms, traps, fire and serious trauma despite its assumed strength and wilderness skill.</x:v>
      </x:c>
      <x:c r="N159" s="9" t="str">
        <x:v>Large humanoid strength; forest stealth; tracking/evasion; endurance; climbing and rough-terrain mobility. No supernatural hax assumed.</x:v>
      </x:c>
      <x:c r="O159" s="9" t="str">
        <x:v>Folklore benchmark; Encyclopaedia Britannica Sasquatch overview https://www.britannica.com/topic/Sasquatch</x:v>
      </x:c>
    </x:row>
    <x:row r="160">
      <x:c r="A160" s="9" t="str">
        <x:v>Black Ops</x:v>
      </x:c>
      <x:c r="B160" s="36" t="n">
        <x:v>2</x:v>
      </x:c>
      <x:c r="C160" s="36" t="n">
        <x:f>IFERROR(INDEX(Cards!$A$2:$A$184,MATCH($E160,Cards!$L$2:$L$184,0)),"")</x:f>
        <x:v>2</x:v>
      </x:c>
      <x:c r="D160" s="36" t="str">
        <x:f>IF(C160="","NO PLAYABLE MATCH",IF(C160=B160,"MATCH","REVIEW"))</x:f>
        <x:v>MATCH</x:v>
      </x:c>
      <x:c r="E160" s="36" t="str">
        <x:v>c153</x:v>
      </x:c>
      <x:c r="F160" s="9" t="str">
        <x:v>Black Ops</x:v>
      </x:c>
      <x:c r="G160" s="9" t="str">
        <x:v>Tech</x:v>
      </x:c>
      <x:c r="H160" s="9" t="str">
        <x:v>Basic</x:v>
      </x:c>
      <x:c r="I160" s="9" t="str">
        <x:v>House benchmark: six-person 2026 elite special-operations assault/recon team</x:v>
      </x:c>
      <x:c r="J160" s="9" t="n">
        <x:v>6</x:v>
      </x:c>
      <x:c r="K160" s="9" t="str">
        <x:v>Six highly trained operators with modern body armor, suppressed rifles/carbines, pistols, a precision rifle or light machine gun, night/thermal optics, encrypted communications, breaching explosives and small ISR/FPV drones. Team tactics emphasize stealth, simultaneous angles, rapid target identification and precision fire.</x:v>
      </x:c>
      <x:c r="L160" s="9" t="str">
        <x:v>Benchmarked from modern special-operations capabilities rather than action-film super-soldiers. The squad can dominate ordinary infantry/police in favorable small-unit combat, especially at night or with drones, but remains human and cannot trade hits with armored vehicles or major superhumans.</x:v>
      </x:c>
      <x:c r="M160" s="9" t="str">
        <x:v>Finite ammunition, batteries and medical supplies; human durability; armor covers only part of the body. Heavy weapons, artillery, armored vehicles, supernatural speed or area attacks can overwhelm them. Aircraft/artillery/off-board fire support are not included by default.</x:v>
      </x:c>
      <x:c r="N160" s="9" t="str">
        <x:v>Night/thermal vision; suppressed firearms; precision shooting; breaching/demolition; small ISR/FPV drones; encrypted comms; tactical medicine; stealth and coordinated close-quarters battle.</x:v>
      </x:c>
      <x:c r="O160" s="9" t="str">
        <x:v>House benchmark informed by USSOCOM 2026 Fact Book https://www.socom.mil/FactBook/2026%20Fact%20Book.pdf ; USSOCOM capability areas https://www.socom.mil/SOF-ATL/Pages/capability_AOI.aspx ; U.S. Army special-forces drone training https://www.army.mil/article/295099/special_forces_drone_competition_highlights_armys_rapid_transformation</x:v>
      </x:c>
    </x:row>
    <x:row r="161">
      <x:c r="A161" s="9" t="str">
        <x:v>Cecil</x:v>
      </x:c>
      <x:c r="B161" s="36" t="n">
        <x:v>2</x:v>
      </x:c>
      <x:c r="C161" s="36" t="n">
        <x:f>IFERROR(INDEX(Cards!$A$2:$A$184,MATCH($E161,Cards!$L$2:$L$184,0)),"")</x:f>
        <x:v>2</x:v>
      </x:c>
      <x:c r="D161" s="36" t="str">
        <x:f>IF(C161="","NO PLAYABLE MATCH",IF(C161=B161,"MATCH","REVIEW"))</x:f>
        <x:v>MATCH</x:v>
      </x:c>
      <x:c r="E161" s="36" t="str">
        <x:v>c144</x:v>
      </x:c>
      <x:c r="F161" s="9" t="str">
        <x:v>Cecil</x:v>
      </x:c>
      <x:c r="G161" s="9" t="str">
        <x:v>Tech</x:v>
      </x:c>
      <x:c r="H161" s="9" t="str">
        <x:v>Invincible</x:v>
      </x:c>
      <x:c r="I161" s="9" t="str">
        <x:v>Cecil Stedman, Invincible animated series through Season 4; personal/commandable GDA technology only</x:v>
      </x:c>
      <x:c r="J161" s="9" t="n">
        <x:v>1</x:v>
      </x:c>
      <x:c r="K161" s="9" t="str">
        <x:v>Uses the GDA teleportation system rapidly enough to reposition himself across long distances and evade threats; commands an orbital energy cannon capable of striking Viltrumite-class targets; employs advanced surveillance, communications, containment and other high-end GDA technology to observe and counter superhuman threats.</x:v>
      </x:c>
      <x:c r="L161" s="9" t="str">
        <x:v>Cecil's effective power comes from access to advanced technology rather than physical strength. His teleportation gives him exceptional survivability and positioning, while the orbital cannon gives him a remote heavy-attack option far beyond human-scale weapons. Government troops, agents, ReAnimen and other personnel are excluded.</x:v>
      </x:c>
      <x:c r="M161" s="9" t="str">
        <x:v>Cecil has ordinary human durability if caught. Teleportation and orbital strikes depend on functioning technological infrastructure and can be disrupted, anticipated or destroyed. The orbital cannon requires targeting and is not equivalent to an instantaneous handheld attack.</x:v>
      </x:c>
      <x:c r="N161" s="9" t="str">
        <x:v>GDA teleportation; orbital energy cannon; advanced surveillance and tracking; secure communications; containment technology; remote technological control and tactical coordination. No government manpower, strike teams or ReAnimen included.</x:v>
      </x:c>
      <x:c r="O161" s="9" t="str">
        <x:v>Invincible animated series S1–S4; official series page https://www.aboutamazon.com/news/entertainment/invincible-season-4-prime-video</x:v>
      </x:c>
    </x:row>
    <x:row r="162">
      <x:c r="A162" s="9" t="str">
        <x:v>Dr. Heinz Doofenshmirtz</x:v>
      </x:c>
      <x:c r="B162" s="36" t="n">
        <x:v>2</x:v>
      </x:c>
      <x:c r="C162" s="36" t="n">
        <x:f>IFERROR(INDEX(Cards!$A$2:$A$184,MATCH($E162,Cards!$L$2:$L$184,0)),"")</x:f>
        <x:v>2</x:v>
      </x:c>
      <x:c r="D162" s="36" t="str">
        <x:f>IF(C162="","NO PLAYABLE MATCH",IF(C162=B162,"MATCH","REVIEW"))</x:f>
        <x:v>MATCH</x:v>
      </x:c>
      <x:c r="E162" s="36" t="str">
        <x:v>c164</x:v>
      </x:c>
      <x:c r="F162" s="9" t="str">
        <x:v>Dr. Heinz Doofenshmirtz</x:v>
      </x:c>
      <x:c r="G162" s="9" t="str">
        <x:v>Tech</x:v>
      </x:c>
      <x:c r="H162" s="9" t="str">
        <x:v>Phineas and Ferb universe</x:v>
      </x:c>
      <x:c r="I162" s="9" t="str">
        <x:v>Dr. Heinz Doofenshmirtz, Phineas and Ferb screen canon; full engineering capability, one prepared Inator at a time</x:v>
      </x:c>
      <x:c r="J162" s="9" t="n">
        <x:v>1</x:v>
      </x:c>
      <x:c r="K162" s="9" t="str">
        <x:v>Repeatedly builds reality-bending devices from his Evil Incorporated laboratory, including teleportation/dimensional machinery, mind/behavior-altering devices, shrink/growth weapons and the Do-Over-Inator, which loops the day and begins creating time rifts that erase things into Nullville. He can also improvise replacement machines rapidly when plans fail.</x:v>
      </x:c>
      <x:c r="L162" s="9" t="str">
        <x:v>Doof's ceiling comes from engineering/preparation, not his body. A functioning chosen Inator can create effects wildly beyond conventional weapons, including time manipulation, but granting every Inator simultaneously would be an impossible composite arsenal. This card assumes he may arrive with one functioning device appropriate to his plan.</x:v>
      </x:c>
      <x:c r="M162" s="9" t="str">
        <x:v>Most Inators are fragile, highly specific, prone to self-destruct buttons/design flaws and routinely defeated by Perry or accidental interference. Doof himself has cartoonish survivability but is physically a comedic human-level fighter. Building a new machine requires materials/time.</x:v>
      </x:c>
      <x:c r="N162" s="9" t="str">
        <x:v>Super-genius invention; specialized Inators; possible time loops, teleportation/dimensional effects, transmutation/shrink/growth/mind effects depending on prepared device; traps; cartoon-level engineering improvisation.</x:v>
      </x:c>
      <x:c r="O162" s="9" t="str">
        <x:v>Phineas and Ferb TV/films; Do-Over-Inator https://phineasandferb.fandom.com/wiki/Do-Over-Inator ; Doofenshmirtz overview https://phineasandferb.fandom.com/wiki/Heinz_Doofenshmirtz</x:v>
      </x:c>
    </x:row>
    <x:row r="163">
      <x:c r="A163" s="9" t="str">
        <x:v>Kaku Kaioh</x:v>
      </x:c>
      <x:c r="B163" s="36" t="n">
        <x:v>2</x:v>
      </x:c>
      <x:c r="C163" s="36" t="n">
        <x:f>IFERROR(INDEX(Cards!$A$2:$A$184,MATCH($E163,Cards!$L$2:$L$184,0)),"")</x:f>
        <x:v>2</x:v>
      </x:c>
      <x:c r="D163" s="36" t="str">
        <x:f>IF(C163="","NO PLAYABLE MATCH",IF(C163=B163,"MATCH","REVIEW"))</x:f>
        <x:v>MATCH</x:v>
      </x:c>
      <x:c r="E163" s="36" t="str">
        <x:v>c145</x:v>
      </x:c>
      <x:c r="F163" s="9" t="str">
        <x:v>Kaku Kaioh</x:v>
      </x:c>
      <x:c r="G163" s="9" t="str">
        <x:v>Nature</x:v>
      </x:c>
      <x:c r="H163" s="9" t="str">
        <x:v>Baki</x:v>
      </x:c>
      <x:c r="I163" s="9" t="str">
        <x:v>Kaku Kaioh, Baki anime Great Raitai Tournament incarnation</x:v>
      </x:c>
      <x:c r="J163" s="9" t="n">
        <x:v>1</x:v>
      </x:c>
      <x:c r="K163" s="9" t="str">
        <x:v>Uses Shaori/Xiao-Lee to relax his body and dissipate tremendous physical blows, repeatedly survives Yujiro's strikes, sends Yujiro flying with technique-based attacks and uses razor-like hand strikes despite his extremely frail appearance. He can voluntarily stop his own heart to simulate death and later restart it.</x:v>
      </x:c>
      <x:c r="L163" s="9" t="str">
        <x:v>One of the series' greatest technical martial artists and capable of making Yujiro take him seriously, but Yujiro eventually solves/counters Shaori and remains clearly superior overall. Kaku's body is deliberately light/frail to maximize technique rather than a sign that his martial skill is diminished by age.</x:v>
      </x:c>
      <x:c r="M163" s="9" t="str">
        <x:v>Shaori depends on perfect relaxation/timing and can be defeated by attacks or tactics that disrupt that state. Physically fragile when technique fails. Stopping his heart is an avoidance trick, not combat resurrection or immortality.</x:v>
      </x:c>
      <x:c r="N163" s="9" t="str">
        <x:v>Shaori/Xiao-Lee defensive force dispersion; offensive Shaori; extreme martial knowledge; precision cutting strikes; voluntary cardiac arrest/control; high-level timing and perception.</x:v>
      </x:c>
      <x:c r="O163" s="9" t="str">
        <x:v>BAKI anime Great Raitai Tournament; TMS series page https://tmsanime.com/project/baki/ ; https://baki.fandom.com/wiki/Kaiou_Kaku</x:v>
      </x:c>
    </x:row>
    <x:row r="164">
      <x:c r="A164" s="9" t="str">
        <x:v>Kiritsugu Emiya</x:v>
      </x:c>
      <x:c r="B164" s="36" t="n">
        <x:v>2</x:v>
      </x:c>
      <x:c r="C164" s="36" t="n">
        <x:f>IFERROR(INDEX(Cards!$A$2:$A$184,MATCH($E164,Cards!$L$2:$L$184,0)),"")</x:f>
        <x:v>2</x:v>
      </x:c>
      <x:c r="D164" s="36" t="str">
        <x:f>IF(C164="","NO PLAYABLE MATCH",IF(C164=B164,"MATCH","REVIEW"))</x:f>
        <x:v>MATCH</x:v>
      </x:c>
      <x:c r="E164" s="36" t="str">
        <x:v>c146</x:v>
      </x:c>
      <x:c r="F164" s="9" t="str">
        <x:v>Kiritsugu Emiya</x:v>
      </x:c>
      <x:c r="G164" s="9" t="str">
        <x:v>Tech</x:v>
      </x:c>
      <x:c r="H164" s="9" t="str">
        <x:v>Fate</x:v>
      </x:c>
      <x:c r="I164" s="9" t="str">
        <x:v>Kiritsugu Emiya, Fate/Zero anime; standard Mage Killer arsenal without Avalon</x:v>
      </x:c>
      <x:c r="J164" s="9" t="n">
        <x:v>1</x:v>
      </x:c>
      <x:c r="K164" s="9" t="str">
        <x:v>Combines modern firearms, traps and assassination tactics with Time Alter. His Thompson Contender fires Origin Bullets that catastrophically damage Kayneth when Kayneth blocks with magecraft, because the bullet's Origin severs and chaotically reconnects magical circuits. He repeatedly defeats conventional magi by attacking their assumptions.</x:v>
      </x:c>
      <x:c r="L164" s="9" t="str">
        <x:v>Far more dangerous to spellcasters than his human-scale firepower suggests. Under standardized supernatural systems, Origin Bullets are treated as especially effective against targets who actively channel/block through an internal magic-energy network, but not as a universal one-shot against every supernatural creature.</x:v>
      </x:c>
      <x:c r="M164" s="9" t="str">
        <x:v>Human durability; Time Alter stresses/damages his body. Higher multipliers were made more sustainable by Avalon during Fate/Zero, so Avalon-supported peak performance is excluded as borrowed external equipment. Origin Bullets are scarce and require a suitable firearm/hit.</x:v>
      </x:c>
      <x:c r="N164" s="9" t="str">
        <x:v>Time Alter self-acceleration; Origin Bullet anti-magic-circuit disruption; firearms; explosives/mines; knives; stealth, surveillance and assassination planning.</x:v>
      </x:c>
      <x:c r="O164" s="9" t="str">
        <x:v>Fate/Zero anime; official https://www.fate-zero.jp/ ; Kiritsugu/Origin Bullets reference https://typemoon.fandom.com/wiki/Kiritsugu_Emiya</x:v>
      </x:c>
    </x:row>
    <x:row r="165">
      <x:c r="A165" s="9" t="str">
        <x:v>Kureo Mado</x:v>
      </x:c>
      <x:c r="B165" s="36" t="n">
        <x:v>2</x:v>
      </x:c>
      <x:c r="C165" s="36" t="n">
        <x:f>IFERROR(INDEX(Cards!$A$2:$A$184,MATCH($E165,Cards!$L$2:$L$184,0)),"")</x:f>
        <x:v>2</x:v>
      </x:c>
      <x:c r="D165" s="36" t="str">
        <x:f>IF(C165="","NO PLAYABLE MATCH",IF(C165=B165,"MATCH","REVIEW"))</x:f>
        <x:v>MATCH</x:v>
      </x:c>
      <x:c r="E165" s="36" t="str">
        <x:v>c147</x:v>
      </x:c>
      <x:c r="F165" s="9" t="str">
        <x:v>Kureo Mado</x:v>
      </x:c>
      <x:c r="G165" s="9" t="str">
        <x:v>Tech</x:v>
      </x:c>
      <x:c r="H165" s="9" t="str">
        <x:v>Tokyo Ghoul</x:v>
      </x:c>
      <x:c r="I165" s="9" t="str">
        <x:v>Kureo Mado, Tokyo Ghoul anime, First Class Investigator prime</x:v>
      </x:c>
      <x:c r="J165" s="9" t="n">
        <x:v>1</x:v>
      </x:c>
      <x:c r="K165" s="9" t="str">
        <x:v>A veteran 'Quinque Fanatic' who hunts ghouls with multiple kagune-derived weapons. Fueguchi One provides fast tentacle-like attacks, while Fueguchi Two supplies a large koukaku weapon usable for attack/defense; he pressures Touka and Hinami through experience, traps and relentless targeting.</x:v>
      </x:c>
      <x:c r="L165" s="9" t="str">
        <x:v>Dangerous to low/mid-level ghouls through specialized anti-ghoul weapons and experience, but not physically comparable to top ghouls. Hinami's awakening and Touka ultimately overwhelm and kill him.</x:v>
      </x:c>
      <x:c r="M165" s="9" t="str">
        <x:v>Fundamentally human durability and dependent on quinques for supernatural offense/defense. Can be outsped or overpowered by stronger ghouls, and losing/damaging his quinque sharply reduces effectiveness.</x:v>
      </x:c>
      <x:c r="N165" s="9" t="str">
        <x:v>Quinque mastery; Fueguchi One/Fueguchi Two; anti-ghoul tactics; trap-setting; close-range weapon skill; investigator training and target analysis.</x:v>
      </x:c>
      <x:c r="O165" s="9" t="str">
        <x:v>Tokyo Ghoul anime S1; https://tokyoghoul.fandom.com/wiki/Kureo_Mado ; https://tokyoghoul.fandom.com/wiki/Kureo_Mado%27s_Unnamed_Quinque</x:v>
      </x:c>
    </x:row>
    <x:row r="166">
      <x:c r="A166" s="9" t="str">
        <x:v>Kurogiri</x:v>
      </x:c>
      <x:c r="B166" s="36" t="n">
        <x:v>2</x:v>
      </x:c>
      <x:c r="C166" s="36" t="n">
        <x:f>IFERROR(INDEX(Cards!$A$2:$A$184,MATCH($E166,Cards!$L$2:$L$184,0)),"")</x:f>
        <x:v>2</x:v>
      </x:c>
      <x:c r="D166" s="36" t="str">
        <x:f>IF(C166="","NO PLAYABLE MATCH",IF(C166=B166,"MATCH","REVIEW"))</x:f>
        <x:v>MATCH</x:v>
      </x:c>
      <x:c r="E166" s="36" t="str">
        <x:v>c148</x:v>
      </x:c>
      <x:c r="F166" s="9" t="str">
        <x:v>Kurogiri</x:v>
      </x:c>
      <x:c r="G166" s="9" t="str">
        <x:v>Magic</x:v>
      </x:c>
      <x:c r="H166" s="9" t="str">
        <x:v>MHA</x:v>
      </x:c>
      <x:c r="I166" s="9" t="str">
        <x:v>Kurogiri, My Hero Academia anime, prime Warp Gate control</x:v>
      </x:c>
      <x:c r="J166" s="9" t="n">
        <x:v>1</x:v>
      </x:c>
      <x:c r="K166" s="9" t="str">
        <x:v>Creates dark portals capable of transporting people, attacks and large groups over long distances; turns Thirteen's Black Hole back toward her, repeatedly enables League mass movement and can close portals around partially transported targets as a lethal spatial threat. In the final war his portals radically alter battlefield positioning.</x:v>
      </x:c>
      <x:c r="L166" s="9" t="str">
        <x:v>One of MHA's strongest mobility/support hax users. He does not need to match an enemy's durability if he can redirect, separate or partially portal them, but he is not a high-stat brawler and relies on spatial control.</x:v>
      </x:c>
      <x:c r="M166" s="9" t="str">
        <x:v>Precise remote destinations require known coordinates/location knowledge. The metal collar/neck region around his mist body is a tangible weak point. Concentration/control can be disrupted, and extreme overuse/damage eventually kills him in the final war.</x:v>
      </x:c>
      <x:c r="N166" s="9" t="str">
        <x:v>Warp Gate portals; long-range transport; BFR; attack redirection; spatial severing by portal closure; mass battlefield repositioning; mist-body concealment.</x:v>
      </x:c>
      <x:c r="O166" s="9" t="str">
        <x:v>My Hero Academia anime through Final Season; official https://heroaca.com/ ; Warp Gate reference https://myheroacademia.fandom.com/wiki/Warp_Gate</x:v>
      </x:c>
    </x:row>
    <x:row r="167">
      <x:c r="A167" s="9" t="str">
        <x:v>Meleoron</x:v>
      </x:c>
      <x:c r="B167" s="36" t="n">
        <x:v>2</x:v>
      </x:c>
      <x:c r="C167" s="36" t="n">
        <x:f>IFERROR(INDEX(Cards!$A$2:$A$184,MATCH($E167,Cards!$L$2:$L$184,0)),"")</x:f>
        <x:v>2</x:v>
      </x:c>
      <x:c r="D167" s="36" t="str">
        <x:f>IF(C167="","NO PLAYABLE MATCH",IF(C167=B167,"MATCH","REVIEW"))</x:f>
        <x:v>MATCH</x:v>
      </x:c>
      <x:c r="E167" s="36" t="str">
        <x:v>c150</x:v>
      </x:c>
      <x:c r="F167" s="9" t="str">
        <x:v>Meleoron</x:v>
      </x:c>
      <x:c r="G167" s="9" t="str">
        <x:v>Magic</x:v>
      </x:c>
      <x:c r="H167" s="9" t="str">
        <x:v>HxH</x:v>
      </x:c>
      <x:c r="I167" s="9" t="str">
        <x:v>Meleoron, Hunter x Hunter 2011 anime, Chimera Ant arc</x:v>
      </x:c>
      <x:c r="J167" s="9" t="n">
        <x:v>1</x:v>
      </x:c>
      <x:c r="K167" s="9" t="str">
        <x:v>Perfect Plan completely erases his presence while he holds his breath: opponents cannot detect him through sight, sound, smell, touch or normal Nen sensing. God's Accomplice extends that concealment to a person he is physically touching, enabling Knuckle to approach Youpi undetected.</x:v>
      </x:c>
      <x:c r="L167" s="9" t="str">
        <x:v>His stealth hax can bypass perception far above his own combat class and is strategically extraordinary, but Meleoron has little offensive power himself. He is an enabler rather than a duelist.</x:v>
      </x:c>
      <x:c r="M167" s="9" t="str">
        <x:v>Perfect Plan lasts only as long as he holds his breath, and exertion/stress shortens that duration. God's Accomplice requires continuous touch. His physical strength/durability are modest by Chimera Ant standards and he is reluctant to fight directly.</x:v>
      </x:c>
      <x:c r="N167" s="9" t="str">
        <x:v>Perfect Plan total presence erasure; God's Accomplice shared concealment; Chimera Ant senses/body; infiltration and support tactics.</x:v>
      </x:c>
      <x:c r="O167" s="9" t="str">
        <x:v>Hunter x Hunter (2011) Chimera Ant arc; https://hunterxhunter.fandom.com/wiki/Meleoron ; E102 reference https://hunterxhunter.fandom.com/wiki/Episode_102_(2011)</x:v>
      </x:c>
    </x:row>
    <x:row r="168">
      <x:c r="A168" s="9" t="str">
        <x:v>Mr. Oliva</x:v>
      </x:c>
      <x:c r="B168" s="36" t="n">
        <x:v>2</x:v>
      </x:c>
      <x:c r="C168" s="36" t="n">
        <x:f>IFERROR(INDEX(Cards!$A$2:$A$184,MATCH($E168,Cards!$L$2:$L$184,0)),"")</x:f>
        <x:v>2</x:v>
      </x:c>
      <x:c r="D168" s="36" t="str">
        <x:f>IF(C168="","NO PLAYABLE MATCH",IF(C168=B168,"MATCH","REVIEW"))</x:f>
        <x:v>MATCH</x:v>
      </x:c>
      <x:c r="E168" s="36" t="str">
        <x:v>c151</x:v>
      </x:c>
      <x:c r="F168" s="9" t="str">
        <x:v>Mr. Oliva</x:v>
      </x:c>
      <x:c r="G168" s="9" t="str">
        <x:v>Nature</x:v>
      </x:c>
      <x:c r="H168" s="9" t="str">
        <x:v>Baki</x:v>
      </x:c>
      <x:c r="I168" s="9" t="str">
        <x:v>Biscuit 'Mr.' Oliva, Baki Hanma anime prison-arc prime</x:v>
      </x:c>
      <x:c r="J168" s="9" t="n">
        <x:v>1</x:v>
      </x:c>
      <x:c r="K168" s="9" t="str">
        <x:v>Overwhelms ordinary prisoners and elite fighters with raw muscle, defeats Jun Guevaru, withstands major blunt/weapon attacks and uses his compact 'ball' muscle defense to absorb attacks before crushing a target. Baki ultimately defeats him only after escalating into a direct all-out strength exchange.</x:v>
      </x:c>
      <x:c r="L168" s="9" t="str">
        <x:v>Among the setting's strongest pure muscle fighters below Yujiro/Baki's later highest tiers. His loss to Baki is meaningful but follows a prolonged contest in which both are heavily taxed.</x:v>
      </x:c>
      <x:c r="M168" s="9" t="str">
        <x:v>Relies heavily on raw strength and toughness, making refined counters, speed and higher-tier martial skill dangerous. His compact ball defense sacrifices mobility. He can be knocked out or physically overwhelmed by sufficiently strong peers.</x:v>
      </x:c>
      <x:c r="N168" s="9" t="str">
        <x:v>Extreme muscular strength/durability; muscle-control defense; crushing/grappling; striking power; high pain tolerance and endurance.</x:v>
      </x:c>
      <x:c r="O168" s="9" t="str">
        <x:v>Baki Hanma anime prison arc; Netflix https://www.netflix.com/title/81236338 ; https://baki.fandom.com/wiki/Biscuit_Oliva</x:v>
      </x:c>
    </x:row>
    <x:row r="169">
      <x:c r="A169" s="9" t="str">
        <x:v>Ouken</x:v>
      </x:c>
      <x:c r="B169" s="36" t="n">
        <x:v>2</x:v>
      </x:c>
      <x:c r="C169" s="36" t="n">
        <x:f>IFERROR(INDEX(Cards!$A$2:$A$184,MATCH($E169,Cards!$L$2:$L$184,0)),"")</x:f>
        <x:v>2</x:v>
      </x:c>
      <x:c r="D169" s="36" t="str">
        <x:f>IF(C169="","NO PLAYABLE MATCH",IF(C169=B169,"MATCH","REVIEW"))</x:f>
        <x:v>MATCH</x:v>
      </x:c>
      <x:c r="E169" s="36" t="str">
        <x:v>c156</x:v>
      </x:c>
      <x:c r="F169" s="9" t="str">
        <x:v>Ouken</x:v>
      </x:c>
      <x:c r="G169" s="9" t="str">
        <x:v>Magic</x:v>
      </x:c>
      <x:c r="H169" s="9" t="str">
        <x:v>Ranking of Kings</x:v>
      </x:c>
      <x:c r="I169" s="9" t="str">
        <x:v>Ouken, Ranking of Kings anime, immortal cursed form</x:v>
      </x:c>
      <x:c r="J169" s="9" t="n">
        <x:v>1</x:v>
      </x:c>
      <x:c r="K169" s="9" t="str">
        <x:v>Regenerates from virtually any ordinary bodily injury, reassembles/recovers after being crushed or dismembered, escapes restraints by breaking his own bones, and repeatedly returns to combat while using highly skilled swordplay. Bojji can outmaneuver/incapacitate him temporarily but cannot make the damage stick.</x:v>
      </x:c>
      <x:c r="L169" s="9" t="str">
        <x:v>Immortality/regeneration makes Ouken far more dangerous than his raw striking scale suggests. He can be temporarily disabled by strong attacks such as Desha's lightning, but ordinary lethal wounds do not end the fight.</x:v>
      </x:c>
      <x:c r="M169" s="9" t="str">
        <x:v>His immortality destroys his sanity and leaves him manipulable. Incapacitation, sealing or confinement works even if killing does not; he can be trapped rather than destroyed. His attack power remains swordfighter-scale rather than matching his extraordinary survivability.</x:v>
      </x:c>
      <x:c r="N169" s="9" t="str">
        <x:v>Extreme immortality/regeneration; self-reassembly; skilled swordsmanship; pain indifference; persistence through normally fatal trauma.</x:v>
      </x:c>
      <x:c r="O169" s="9" t="str">
        <x:v>Ranking of Kings anime; https://ousamaranking.fandom.com/wiki/Ouken</x:v>
      </x:c>
    </x:row>
    <x:row r="170">
      <x:c r="A170" s="9" t="str">
        <x:v>Stain</x:v>
      </x:c>
      <x:c r="B170" s="36" t="n">
        <x:v>2</x:v>
      </x:c>
      <x:c r="C170" s="36" t="n">
        <x:f>IFERROR(INDEX(Cards!$A$2:$A$184,MATCH($E170,Cards!$L$2:$L$184,0)),"")</x:f>
        <x:v>2</x:v>
      </x:c>
      <x:c r="D170" s="36" t="str">
        <x:f>IF(C170="","NO PLAYABLE MATCH",IF(C170=B170,"MATCH","REVIEW"))</x:f>
        <x:v>MATCH</x:v>
      </x:c>
      <x:c r="E170" s="36" t="str">
        <x:v>c152</x:v>
      </x:c>
      <x:c r="F170" s="9" t="str">
        <x:v>Stain</x:v>
      </x:c>
      <x:c r="G170" s="9" t="str">
        <x:v>Magic</x:v>
      </x:c>
      <x:c r="H170" s="9" t="str">
        <x:v>MHA</x:v>
      </x:c>
      <x:c r="I170" s="9" t="str">
        <x:v>Hero Killer Stain, My Hero Academia anime, healthy Hosu prime</x:v>
      </x:c>
      <x:c r="J170" s="9" t="n">
        <x:v>1</x:v>
      </x:c>
      <x:c r="K170" s="9" t="str">
        <x:v>Fights Full Cowl Deku, Iida and Todoroki in rapid succession while injured, repeatedly lands precise blade attacks and continues operating after major impacts. By ingesting an opponent's blood, Bloodcurdle paralyzes them for a blood-type-dependent duration; after the alley fight he still kills a flying Nomu before collapsing.</x:v>
      </x:c>
      <x:c r="L170" s="9" t="str">
        <x:v>Elite human-scale speed/technique plus a powerful conditional paralysis hax. He can threaten physically stronger targets once he draws blood, but the condition means he must first penetrate their defenses.</x:v>
      </x:c>
      <x:c r="M170" s="9" t="str">
        <x:v>Bloodcurdle requires ingesting the target's blood; duration varies by blood type and tops out at minutes rather than permanently. He has no regeneration and can be overwhelmed by coordinated ranged attacks or sufficiently fast/durable opponents.</x:v>
      </x:c>
      <x:c r="N170" s="9" t="str">
        <x:v>Bloodcurdle paralysis; exceptional sword/knife skill; agility/reflexes; wall movement; pain tolerance; intimidation/killing intent.</x:v>
      </x:c>
      <x:c r="O170" s="9" t="str">
        <x:v>My Hero Academia anime Hosu arc; official https://heroaca.com/ ; Bloodcurdle reference https://myheroacademia.fandom.com/wiki/Bloodcurdle</x:v>
      </x:c>
    </x:row>
    <x:row r="171">
      <x:c r="A171" s="9" t="str">
        <x:v>Survivors</x:v>
      </x:c>
      <x:c r="B171" s="36" t="n">
        <x:v>2</x:v>
      </x:c>
      <x:c r="C171" s="36" t="n">
        <x:f>IFERROR(INDEX(Cards!$A$2:$A$184,MATCH($E171,Cards!$L$2:$L$184,0)),"")</x:f>
        <x:v>2</x:v>
      </x:c>
      <x:c r="D171" s="36" t="str">
        <x:f>IF(C171="","NO PLAYABLE MATCH",IF(C171=B171,"MATCH","REVIEW"))</x:f>
        <x:v>MATCH</x:v>
      </x:c>
      <x:c r="E171" s="36" t="str">
        <x:v>c143</x:v>
      </x:c>
      <x:c r="F171" s="9" t="str">
        <x:v>Survivors</x:v>
      </x:c>
      <x:c r="G171" s="9" t="str">
        <x:v>Nature</x:v>
      </x:c>
      <x:c r="H171" s="9" t="str">
        <x:v>L4d2</x:v>
      </x:c>
      <x:c r="I171" s="9" t="str">
        <x:v>Left 4 Dead 2 Survivors: Coach, Nick, Rochelle and Ellis</x:v>
      </x:c>
      <x:c r="J171" s="9" t="n">
        <x:v>4</x:v>
      </x:c>
      <x:c r="K171" s="9" t="str">
        <x:v>The four survive a continuous multi-city zombie campaign against enormous hordes and Special Infected, routinely killing Hunters, Chargers, Smokers, Boomers, Jockeys, Spitters and Witches and bringing down Tanks with concentrated firearms, explosives and teamwork while moving between safe rooms.</x:v>
      </x:c>
      <x:c r="L171" s="9" t="str">
        <x:v>Collectively exceptional infected-survival combatants rather than superhumans. Their ability to kill a Tank is a team/firepower feat and depends on weapons, distance and ammunition, not bare-handed strength.</x:v>
      </x:c>
      <x:c r="M171" s="9" t="str">
        <x:v>Human durability and stamina; can be incapacitated, pinned or killed by Special Infected. Ammunition, healing items and throwables are finite. Use a realistic carried loadout per survivor rather than granting all map weapons simultaneously.</x:v>
      </x:c>
      <x:c r="N171" s="9" t="str">
        <x:v>Modern firearms; shotguns/rifles/snipers; sidearms/melee; Molotovs/pipe bombs/bile; medkits/defibrillator support; strong team coordination; carrier immunity/resistance to Green Flu symptoms.</x:v>
      </x:c>
      <x:c r="O171" s="9" t="str">
        <x:v>Left 4 Dead 2 (2009); Steam https://store.steampowered.com/app/550/Left_4_Dead_2/ ; survivors https://left4dead.fandom.com/wiki/The_Survivors</x:v>
      </x:c>
    </x:row>
    <x:row r="172">
      <x:c r="A172" s="9" t="str">
        <x:v>An Order of Heavy Knights</x:v>
      </x:c>
      <x:c r="B172" s="36" t="n">
        <x:v>1</x:v>
      </x:c>
      <x:c r="C172" s="36" t="n">
        <x:f>IFERROR(INDEX(Cards!$A$2:$A$184,MATCH($E172,Cards!$L$2:$L$184,0)),"")</x:f>
        <x:v>1</x:v>
      </x:c>
      <x:c r="D172" s="36" t="str">
        <x:f>IF(C172="","NO PLAYABLE MATCH",IF(C172=B172,"MATCH","REVIEW"))</x:f>
        <x:v>MATCH</x:v>
      </x:c>
      <x:c r="E172" s="36" t="str">
        <x:v>c169</x:v>
      </x:c>
      <x:c r="F172" s="9" t="str">
        <x:v>An Order of Heavy Knights</x:v>
      </x:c>
      <x:c r="G172" s="9" t="str">
        <x:v>Nature</x:v>
      </x:c>
      <x:c r="H172" s="9" t="str">
        <x:v>Basic</x:v>
      </x:c>
      <x:c r="I172" s="9" t="str">
        <x:v>House benchmark: ten elite late-15th-century heavy knights in full plate, fighting on foot</x:v>
      </x:c>
      <x:c r="J172" s="9" t="n">
        <x:v>10</x:v>
      </x:c>
      <x:c r="K172" s="9" t="str">
        <x:v>Ten veteran heavy infantry knights equipped with high-quality full plate armor and battlefield weapons such as poleaxes, longswords and maces. Their armor gives excellent protection against cuts, thrusts and many glancing projectiles, while polearms and formation fighting let them deliver powerful anti-armor strikes at close range.</x:v>
      </x:c>
      <x:c r="L172" s="9" t="str">
        <x:v>Far above ordinary unarmored melee troops in a frontal medieval engagement through armor quality, reach, discipline and weapon skill, but still fully historical human combatants with no supernatural physical enhancement.</x:v>
      </x:c>
      <x:c r="M172" s="9" t="str">
        <x:v>Armor joints, visor openings and gaps remain vulnerable; blunt trauma, specialized anti-armor weapons, massed missiles at favorable angles, firearms, explosives and modern weapons can defeat them. Heavy armor also reduces endurance and mobility compared with lightly equipped fighters.</x:v>
      </x:c>
      <x:c r="N172" s="9" t="str">
        <x:v>Full-plate protection; poleaxe, longsword and mace mastery; formation discipline; anti-armor melee techniques; high battlefield training and physical conditioning.</x:v>
      </x:c>
      <x:c r="O172" s="9" t="str">
        <x:v>House benchmark; Metropolitan Museum armor overview https://www.metmuseum.org/essays/the-function-of-armor-in-medieval-and-renaissance-europe</x:v>
      </x:c>
    </x:row>
    <x:row r="173">
      <x:c r="A173" s="9" t="str">
        <x:v>Davy Jones</x:v>
      </x:c>
      <x:c r="B173" s="36" t="n">
        <x:v>1</x:v>
      </x:c>
      <x:c r="C173" s="36" t="n">
        <x:f>IFERROR(INDEX(Cards!$A$2:$A$184,MATCH($E173,Cards!$L$2:$L$184,0)),"")</x:f>
        <x:v>1</x:v>
      </x:c>
      <x:c r="D173" s="36" t="str">
        <x:f>IF(C173="","NO PLAYABLE MATCH",IF(C173=B173,"MATCH","REVIEW"))</x:f>
        <x:v>MATCH</x:v>
      </x:c>
      <x:c r="E173" s="36" t="str">
        <x:v>c170</x:v>
      </x:c>
      <x:c r="F173" s="9" t="str">
        <x:v>Davy Jones</x:v>
      </x:c>
      <x:c r="G173" s="9" t="str">
        <x:v>Magic</x:v>
      </x:c>
      <x:c r="H173" s="9" t="str">
        <x:v>Pirates of the Caribbean</x:v>
      </x:c>
      <x:c r="I173" s="9" t="str">
        <x:v>Davy Jones, Pirates of the Caribbean film continuity, At World's End prime with heart removed</x:v>
      </x:c>
      <x:c r="J173" s="9" t="n">
        <x:v>1</x:v>
      </x:c>
      <x:c r="K173" s="9" t="str">
        <x:v>Continues fighting through normally lethal bodily wounds because his still-beating heart exists separately; overwhelms ordinary sailors with superhuman strength, swordsmanship, tentacles and crab-claw attacks; fights highly skilled opponents at close range while remaining difficult to incapacitate through damage to his manifested body.</x:v>
      </x:c>
      <x:c r="L173" s="9" t="str">
        <x:v>Jones is extraordinarily difficult to kill conventionally while his heart remains intact and hidden. His true lethal condition is damage to the heart, so stabbing or shooting his manifested body is a poor win condition. The Flying Dutchman and Kraken are separate assets and are excluded from this card.</x:v>
      </x:c>
      <x:c r="M173" s="9" t="str">
        <x:v>His removed heart is a critical external weak point: whoever possesses it can threaten/control him, and piercing it kills Jones. He is normally bound to the sea and may set foot on land only once every ten years, though film tricks such as standing in seawater bypass this. The Flying Dutchman, its crew/weaponry, and the Kraken are not available.</x:v>
      </x:c>
      <x:c r="N173" s="9" t="str">
        <x:v>Near-immortality while heart survives; superhuman strength; facial tentacle manipulation; crab-claw strength; supernatural swordsmanship/endurance.</x:v>
      </x:c>
      <x:c r="O173" s="9" t="str">
        <x:v>Pirates of the Caribbean: Dead Man's Chest (2006) and At World's End (2007); Heart/immortality reference https://pirates.fandom.com/wiki/Immortality</x:v>
      </x:c>
    </x:row>
    <x:row r="174">
      <x:c r="A174" s="9" t="str">
        <x:v>Detective L</x:v>
      </x:c>
      <x:c r="B174" s="36" t="n">
        <x:v>1</x:v>
      </x:c>
      <x:c r="C174" s="36" t="n">
        <x:f>IFERROR(INDEX(Cards!$A$2:$A$184,MATCH($E174,Cards!$L$2:$L$184,0)),"")</x:f>
        <x:v>1</x:v>
      </x:c>
      <x:c r="D174" s="36" t="str">
        <x:f>IF(C174="","NO PLAYABLE MATCH",IF(C174=B174,"MATCH","REVIEW"))</x:f>
        <x:v>MATCH</x:v>
      </x:c>
      <x:c r="E174" s="36" t="str">
        <x:v>c003</x:v>
      </x:c>
      <x:c r="F174" s="9" t="str">
        <x:v>Detective L</x:v>
      </x:c>
      <x:c r="G174" s="9" t="str">
        <x:v>Nature</x:v>
      </x:c>
      <x:c r="H174" s="9" t="str">
        <x:v>Death Note</x:v>
      </x:c>
      <x:c r="I174" s="9" t="str">
        <x:v>L Lawliet, Death Note anime, investigation-era prime</x:v>
      </x:c>
      <x:c r="J174" s="9" t="n">
        <x:v>1</x:v>
      </x:c>
      <x:c r="K174" s="9" t="str">
        <x:v>Narrows Kira's location from the entire world to Japan's Kanto region using the televised Lind L. Tailor trap, deduces Kira has access to police information and repeatedly anticipates Light's counter-plans. He also displays excellent tennis ability and can exchange kicks/punches with Light.</x:v>
      </x:c>
      <x:c r="L174" s="9" t="str">
        <x:v>One of the setting's premier strategic/intellectual threats rather than a combatant. His strongest 'defense' against the Death Note is operational secrecy: very few people know his true name, making name-based assassination much harder.</x:v>
      </x:c>
      <x:c r="M174" s="9" t="str">
        <x:v>No supernatural abilities and ordinary human durability. Needs evidence, information and time to solve problems; can be deceived by supernatural rules he has no way to test immediately. Once his true name is obtained by a valid Death Note user, he has no inherent resistance.</x:v>
      </x:c>
      <x:c r="N174" s="9" t="str">
        <x:v>Extreme deduction; surveillance/investigation design; deception detection; contingency planning; athletic reflexes; competent hand-to-hand combat; hidden-identity protection.</x:v>
      </x:c>
      <x:c r="O174" s="9" t="str">
        <x:v>Death Note anime; https://deathnote.fandom.com/wiki/L_(character)</x:v>
      </x:c>
    </x:row>
    <x:row r="175">
      <x:c r="A175" s="9" t="str">
        <x:v>Domovoy</x:v>
      </x:c>
      <x:c r="B175" s="36" t="n">
        <x:v>1</x:v>
      </x:c>
      <x:c r="C175" s="36" t="n">
        <x:f>IFERROR(INDEX(Cards!$A$2:$A$184,MATCH($E175,Cards!$L$2:$L$184,0)),"")</x:f>
        <x:v>1</x:v>
      </x:c>
      <x:c r="D175" s="36" t="str">
        <x:f>IF(C175="","NO PLAYABLE MATCH",IF(C175=B175,"MATCH","REVIEW"))</x:f>
        <x:v>MATCH</x:v>
      </x:c>
      <x:c r="E175" s="36" t="str">
        <x:v>c160</x:v>
      </x:c>
      <x:c r="F175" s="9" t="str">
        <x:v>Domovoy</x:v>
      </x:c>
      <x:c r="G175" s="9" t="str">
        <x:v>Magic</x:v>
      </x:c>
      <x:c r="H175" s="9" t="str">
        <x:v>Myth</x:v>
      </x:c>
      <x:c r="I175" s="9" t="str">
        <x:v>Domovoy, conservative Slavic household-spirit folklore benchmark</x:v>
      </x:c>
      <x:c r="J175" s="9" t="n">
        <x:v>1</x:v>
      </x:c>
      <x:c r="K175" s="9" t="str">
        <x:v>A domestic spirit tied to a household/family, traditionally able to protect the home and livestock when respected or harass residents when angered through noises, moving/hiding objects, nightmares, choking/suffocating sleepers and other localized misfortune.</x:v>
      </x:c>
      <x:c r="L175" s="9" t="str">
        <x:v>Its power is strongly domain-based and folkloric rather than battlefield-oriented. Within a home it can be difficult to confront because it may remain unseen and interact indirectly, but it has no consistent large-scale destructive feats across traditions.</x:v>
      </x:c>
      <x:c r="M175" s="9" t="str">
        <x:v>Bound conceptually to a household and its relationship with residents; behavior varies sharply by regional tradition and it can often be appeased with respectful treatment or offerings. No universal combat durability, speed or offensive scale exists.</x:v>
      </x:c>
      <x:c r="N175" s="9" t="str">
        <x:v>Invisibility/hidden presence; household protection; poltergeist-like object movement; nightmares/sleep harassment; localized curse/misfortune effects; supernatural awareness of the home.</x:v>
      </x:c>
      <x:c r="O175" s="9" t="str">
        <x:v>Slavic folklore benchmark; UBC scholarship https://ojs.library.ubc.ca/index.php/EJAS/article/view/199552 ; folklore overview https://www.ancient-origins.net/myths-legends-europe/domovoi-0011129</x:v>
      </x:c>
    </x:row>
    <x:row r="176">
      <x:c r="A176" s="9" t="str">
        <x:v>Goblins</x:v>
      </x:c>
      <x:c r="B176" s="36" t="n">
        <x:v>1</x:v>
      </x:c>
      <x:c r="C176" s="36" t="n">
        <x:f>IFERROR(INDEX(Cards!$A$2:$A$184,MATCH($E176,Cards!$L$2:$L$184,0)),"")</x:f>
        <x:v>1</x:v>
      </x:c>
      <x:c r="D176" s="36" t="str">
        <x:f>IF(C176="","NO PLAYABLE MATCH",IF(C176=B176,"MATCH","REVIEW"))</x:f>
        <x:v>MATCH</x:v>
      </x:c>
      <x:c r="E176" s="36" t="str">
        <x:v>c171</x:v>
      </x:c>
      <x:c r="F176" s="9" t="str">
        <x:v>Goblins</x:v>
      </x:c>
      <x:c r="G176" s="9" t="str">
        <x:v>Nature</x:v>
      </x:c>
      <x:c r="H176" s="9" t="str">
        <x:v>Myth</x:v>
      </x:c>
      <x:c r="I176" s="9" t="str">
        <x:v>House benchmark: ten small European-folklore goblins</x:v>
      </x:c>
      <x:c r="J176" s="9" t="n">
        <x:v>10</x:v>
      </x:c>
      <x:c r="K176" s="9" t="str">
        <x:v>Ten small malicious humanoid goblins operating as a gang, using stealth, ambushes, crude knives/clubs and improvised traps. They are assumed cunning enough to exploit darkness, clutter and numbers but not individually stronger than trained adult humans.</x:v>
      </x:c>
      <x:c r="L176" s="9" t="str">
        <x:v>The group can overwhelm isolated ordinary people through numbers and ambush but has no consistent superhuman scale because 'goblin' spans many unrelated folklore traditions. No fantasy-RPG armor classes, spellcasting or regeneration are imported.</x:v>
      </x:c>
      <x:c r="M176" s="9" t="str">
        <x:v>Small, lightly protected bodies; primitive weapons; vulnerable to firearms, armor, disciplined formations and area attacks. Poor morale/coordination compared with professional soldiers. No universal magical ability assumed.</x:v>
      </x:c>
      <x:c r="N176" s="9" t="str">
        <x:v>Group ambush; stealth; crude melee weapons; simple traps; numbers/flanking. No major magic assumed.</x:v>
      </x:c>
      <x:c r="O176" s="9" t="str">
        <x:v>European folklore house benchmark; general goblin overview https://en.wikipedia.org/wiki/Goblin</x:v>
      </x:c>
    </x:row>
    <x:row r="177">
      <x:c r="A177" s="9" t="str">
        <x:v>Indiana Jones</x:v>
      </x:c>
      <x:c r="B177" s="36" t="n">
        <x:v>1</x:v>
      </x:c>
      <x:c r="C177" s="36" t="n">
        <x:f>IFERROR(INDEX(Cards!$A$2:$A$184,MATCH($E177,Cards!$L$2:$L$184,0)),"")</x:f>
        <x:v>1</x:v>
      </x:c>
      <x:c r="D177" s="36" t="str">
        <x:f>IF(C177="","NO PLAYABLE MATCH",IF(C177=B177,"MATCH","REVIEW"))</x:f>
        <x:v>MATCH</x:v>
      </x:c>
      <x:c r="E177" s="36" t="str">
        <x:v>c159</x:v>
      </x:c>
      <x:c r="F177" s="9" t="str">
        <x:v>Indiana Jones</x:v>
      </x:c>
      <x:c r="G177" s="9" t="str">
        <x:v>Nature</x:v>
      </x:c>
      <x:c r="H177" s="9" t="str">
        <x:v>Indiana Jones</x:v>
      </x:c>
      <x:c r="I177" s="9" t="str">
        <x:v>Indiana Jones, film continuity, healthy Last Crusade-era prime</x:v>
      </x:c>
      <x:c r="J177" s="9" t="n">
        <x:v>1</x:v>
      </x:c>
      <x:c r="K177" s="9" t="str">
        <x:v>Survives repeated fistfights, truck/tank chases, gunfire and collapsing ruins through toughness, improvisation and luck; uses his bullwhip to disarm, swing or rescue people; is a capable pistol user and multilingual archaeologist who repeatedly solves ancient traps/puzzles under pressure.</x:v>
      </x:c>
      <x:c r="L177" s="9" t="str">
        <x:v>An exceptional adventurous human, not superhuman. His ability to survive outrageous situations is strongly driven by skill, quick thinking and fortune rather than tanking heavy weapons. Supernatural artifacts he temporarily encounters are not part of his default kit.</x:v>
      </x:c>
      <x:c r="M177" s="9" t="str">
        <x:v>Human durability; can be knocked out, shot or badly injured. Revolver ammunition is finite and whip needs room/anchors. Holy Grail healing/immortality and other one-off artifacts are excluded as borrowed MacGuffins.</x:v>
      </x:c>
      <x:c r="N177" s="9" t="str">
        <x:v>Bullwhip mastery; revolver/firearms; fistfighting; archaeology/languages; trap recognition; improvisation; vehicle handling and high pain tolerance.</x:v>
      </x:c>
      <x:c r="O177" s="9" t="str">
        <x:v>Raiders of the Lost Ark (1981); Indiana Jones and the Last Crusade (1989); Lucasfilm franchise https://www.lucasfilm.com/productions/indiana-jones-and-the-dial-of-destiny/</x:v>
      </x:c>
    </x:row>
    <x:row r="178">
      <x:c r="A178" s="9" t="str">
        <x:v>John Wick</x:v>
      </x:c>
      <x:c r="B178" s="36" t="n">
        <x:v>1</x:v>
      </x:c>
      <x:c r="C178" s="36" t="n">
        <x:f>IFERROR(INDEX(Cards!$A$2:$A$184,MATCH($E178,Cards!$L$2:$L$184,0)),"")</x:f>
        <x:v>1</x:v>
      </x:c>
      <x:c r="D178" s="36" t="str">
        <x:f>IF(C178="","NO PLAYABLE MATCH",IF(C178=B178,"MATCH","REVIEW"))</x:f>
        <x:v>MATCH</x:v>
      </x:c>
      <x:c r="E178" s="36" t="str">
        <x:v>c001</x:v>
      </x:c>
      <x:c r="F178" s="9" t="str">
        <x:v>John Wick</x:v>
      </x:c>
      <x:c r="G178" s="9" t="str">
        <x:v>Nature</x:v>
      </x:c>
      <x:c r="H178" s="9" t="str">
        <x:v>John Wick</x:v>
      </x:c>
      <x:c r="I178" s="9" t="str">
        <x:v>John Wick, film continuity, healthy Chapter 4-era skillset with standard bullet-resistant suit</x:v>
      </x:c>
      <x:c r="J178" s="9" t="n">
        <x:v>1</x:v>
      </x:c>
      <x:c r="K178" s="9" t="str">
        <x:v>Eliminates large numbers of elite assassins across prolonged gunfights using pistols, rifles, shotguns, knives and improvised weapons; repeatedly transitions between shooting, grappling and throws at close range; survives multiple vehicle impacts, falls and severe wounds while continuing to fight.</x:v>
      </x:c>
      <x:c r="L178" s="9" t="str">
        <x:v>One of the John Wick setting's best conventional assassins, but all feats remain within exaggerated human action-film scale. His bullet-resistant suit greatly improves survival from torso shots but does not make him immune to impact, headshots or exposed-area injury.</x:v>
      </x:c>
      <x:c r="M178" s="9" t="str">
        <x:v>Human physiology and finite ammunition/stamina. Ballistic suit must be positioned to cover shots and transfers blunt force. Severe falls, stab/gunshot wounds and repeated impacts visibly degrade him. Special weapons picked up during missions are not all default equipment.</x:v>
      </x:c>
      <x:c r="N178" s="9" t="str">
        <x:v>Elite marksmanship; gun-fu/CQB; judo/jiu-jitsu grappling; knife fighting; tactical reloads; bullet-resistant suit; exceptional endurance and situational awareness.</x:v>
      </x:c>
      <x:c r="O178" s="9" t="str">
        <x:v>John Wick Chapters 1–4; official franchise https://johnwick.movie/ ; Chapter 4 production notes https://www.lionsgateawards.com/assets/files/JW4_Production_Notes.pdf</x:v>
      </x:c>
    </x:row>
    <x:row r="179">
      <x:c r="A179" s="9" t="str">
        <x:v>Joker</x:v>
      </x:c>
      <x:c r="B179" s="36" t="n">
        <x:v>1</x:v>
      </x:c>
      <x:c r="C179" s="36" t="n">
        <x:f>IFERROR(INDEX(Cards!$A$2:$A$184,MATCH($E179,Cards!$L$2:$L$184,0)),"")</x:f>
        <x:v>1</x:v>
      </x:c>
      <x:c r="D179" s="36" t="str">
        <x:f>IF(C179="","NO PLAYABLE MATCH",IF(C179=B179,"MATCH","REVIEW"))</x:f>
        <x:v>MATCH</x:v>
      </x:c>
      <x:c r="E179" s="36" t="str">
        <x:v>c002</x:v>
      </x:c>
      <x:c r="F179" s="9" t="str">
        <x:v>Joker</x:v>
      </x:c>
      <x:c r="G179" s="9" t="str">
        <x:v>Nature</x:v>
      </x:c>
      <x:c r="H179" s="9" t="str">
        <x:v>DCEU</x:v>
      </x:c>
      <x:c r="I179" s="9" t="str">
        <x:v>The Joker, DCEU Jared Leto incarnation</x:v>
      </x:c>
      <x:c r="J179" s="9" t="n">
        <x:v>1</x:v>
      </x:c>
      <x:c r="K179" s="9" t="str">
        <x:v>Operates as a heavily armed Gotham crime boss, personally uses firearms and intimidation, survives violent criminal encounters and organizes the armed helicopter rescue of Harley Quinn. His strongest demonstrated leverage comes from planning, criminal resources and unpredictability rather than physical superpowers.</x:v>
      </x:c>
      <x:c r="L179" s="9" t="str">
        <x:v>Screen evidence for DCEU Joker is sparse. He should not inherit comic Joker Venom, impossible prep feats or other continuities' gadgets. Physically he remains a dangerous but human criminal.</x:v>
      </x:c>
      <x:c r="M179" s="9" t="str">
        <x:v>Ordinary human durability and no demonstrated metahuman abilities. Organization/gang members are not counted as extra Quantity and large criminal resources require preparation. Can be shot, restrained or overpowered by stronger fighters.</x:v>
      </x:c>
      <x:c r="N179" s="9" t="str">
        <x:v>Firearms; knives; criminal planning/resources; intimidation/manipulation; high pain tolerance and unpredictability.</x:v>
      </x:c>
      <x:c r="O179" s="9" t="str">
        <x:v>Suicide Squad (2016); Zack Snyder's Justice League (2021); DC film reference https://www.dc.com/movies/suicide-squad-2016</x:v>
      </x:c>
    </x:row>
    <x:row r="180">
      <x:c r="A180" s="9" t="str">
        <x:v>Kagaya Ubuyashiki</x:v>
      </x:c>
      <x:c r="B180" s="36" t="n">
        <x:v>1</x:v>
      </x:c>
      <x:c r="C180" s="36" t="n">
        <x:f>IFERROR(INDEX(Cards!$A$2:$A$184,MATCH($E180,Cards!$L$2:$L$184,0)),"")</x:f>
        <x:v>1</x:v>
      </x:c>
      <x:c r="D180" s="36" t="str">
        <x:f>IF(C180="","NO PLAYABLE MATCH",IF(C180=B180,"MATCH","REVIEW"))</x:f>
        <x:v>MATCH</x:v>
      </x:c>
      <x:c r="E180" s="36" t="str">
        <x:v>c162</x:v>
      </x:c>
      <x:c r="F180" s="9" t="str">
        <x:v>Kagaya Ubuyashiki</x:v>
      </x:c>
      <x:c r="G180" s="9" t="str">
        <x:v>Nature</x:v>
      </x:c>
      <x:c r="H180" s="9" t="str">
        <x:v>Demon Slayer</x:v>
      </x:c>
      <x:c r="I180" s="9" t="str">
        <x:v>Kagaya Ubuyashiki, Demon Slayer anime; healthiest adult physical state with established foresight/leadership</x:v>
      </x:c>
      <x:c r="J180" s="9" t="n">
        <x:v>1</x:v>
      </x:c>
      <x:c r="K180" s="9" t="str">
        <x:v>Possesses extraordinary Ubuyashiki foresight/intuition, accurately predicting major developments and Muzan's arrival within five days; senses Muzan approaching despite blindness late in life; plans the mansion suicide explosion that catastrophically wounds and stalls Muzan long enough for Tamayo/Gyomei's follow-up.</x:v>
      </x:c>
      <x:c r="L180" s="9" t="str">
        <x:v>His actual power is strategic prediction and command, not physical combat. The mansion explosion is a prepared trap designed by Kagaya and demonstrates planning capability, but it is infrastructure/prep rather than personal attack potency.</x:v>
      </x:c>
      <x:c r="M180" s="9" t="str">
        <x:v>Inherited Ubuyashiki illness progressively destroys his body and eventually leaves him blind/bedridden; prime condition minimizes that deterioration but does not turn him into a swordsman. Foresight is intuitive rather than frame-by-frame battle precognition. The mansion bomb is one-use preparation.</x:v>
      </x:c>
      <x:c r="N180" s="9" t="str">
        <x:v>Clan foresight/intuition; exceptional sensory awareness; leadership and long-term strategy; calming/persuasive presence; elaborate trap planning and intelligence network access.</x:v>
      </x:c>
      <x:c r="O180" s="9" t="str">
        <x:v>Demon Slayer anime through Hashira Training/Infinity Castle setup; Kagaya foresight https://kimetsu-no-yaiba.fandom.com/wiki/Kagaya_Ubuyashiki ; Episode 63 explosion https://kimetsu-no-yaiba.fandom.com/wiki/Episode_63</x:v>
      </x:c>
    </x:row>
    <x:row r="181">
      <x:c r="A181" s="9" t="str">
        <x:v>King</x:v>
      </x:c>
      <x:c r="B181" s="36" t="n">
        <x:v>1</x:v>
      </x:c>
      <x:c r="C181" s="36" t="n">
        <x:f>IFERROR(INDEX(Cards!$A$2:$A$184,MATCH($E181,Cards!$L$2:$L$184,0)),"")</x:f>
        <x:v>1</x:v>
      </x:c>
      <x:c r="D181" s="36" t="str">
        <x:f>IF(C181="","NO PLAYABLE MATCH",IF(C181=B181,"MATCH","REVIEW"))</x:f>
        <x:v>MATCH</x:v>
      </x:c>
      <x:c r="E181" s="36" t="str">
        <x:v>c077</x:v>
      </x:c>
      <x:c r="F181" s="9" t="str">
        <x:v>King</x:v>
      </x:c>
      <x:c r="G181" s="9" t="str">
        <x:v>Nature</x:v>
      </x:c>
      <x:c r="H181" s="9" t="str">
        <x:v>OPM</x:v>
      </x:c>
      <x:c r="I181" s="9" t="str">
        <x:v>King, One-Punch Man anime</x:v>
      </x:c>
      <x:c r="J181" s="9" t="n">
        <x:v>1</x:v>
      </x:c>
      <x:c r="K181" s="9" t="str">
        <x:v>Has no genuine superhuman combat feats: his terrifying reputation causes monsters/people to hesitate or flee, and many of Saitama's victories are mistakenly credited to him; he is exceptionally skilled at video games.</x:v>
      </x:c>
      <x:c r="L181" s="9" t="str">
        <x:v>Do NOT scale King to the feats publicly attributed to him. The anime explicitly reveals that the 'strongest man' reputation is false. Whether his improbable luck is a real supernatural power is unconfirmed.</x:v>
      </x:c>
      <x:c r="M181" s="9" t="str">
        <x:v>Physically an ordinary man without demonstrated combat training/powers. Reputation can fail against opponents who know the truth or do not care. Fear response is psychological, not guaranteed mind control.</x:v>
      </x:c>
      <x:c r="N181" s="9" t="str">
        <x:v>Intimidation through reputation/'King Engine'; exceptional gaming skill; possible narrative luck is unproven and not treated as confirmed hax.</x:v>
      </x:c>
      <x:c r="O181" s="9" t="str">
        <x:v>One-Punch Man anime; official 2025 character description https://onepunchman-anime.net/news/archives/6279</x:v>
      </x:c>
    </x:row>
    <x:row r="182">
      <x:c r="A182" s="9" t="str">
        <x:v>Mr. Poopybutthole</x:v>
      </x:c>
      <x:c r="B182" s="36" t="n">
        <x:v>1</x:v>
      </x:c>
      <x:c r="C182" s="36" t="n">
        <x:f>IFERROR(INDEX(Cards!$A$2:$A$184,MATCH($E182,Cards!$L$2:$L$184,0)),"")</x:f>
        <x:v>1</x:v>
      </x:c>
      <x:c r="D182" s="36" t="str">
        <x:f>IF(C182="","NO PLAYABLE MATCH",IF(C182=B182,"MATCH","REVIEW"))</x:f>
        <x:v>MATCH</x:v>
      </x:c>
      <x:c r="E182" s="36" t="str">
        <x:v>c172</x:v>
      </x:c>
      <x:c r="F182" s="9" t="str">
        <x:v>Mr. Poopybutthole</x:v>
      </x:c>
      <x:c r="G182" s="9" t="str">
        <x:v>Nature</x:v>
      </x:c>
      <x:c r="H182" s="9" t="str">
        <x:v>Rick and Morty</x:v>
      </x:c>
      <x:c r="I182" s="9" t="str">
        <x:v>Mr. Poopybutthole, Rick and Morty TV canon through Season 9</x:v>
      </x:c>
      <x:c r="J182" s="9" t="n">
        <x:v>1</x:v>
      </x:c>
      <x:c r="K182" s="9" t="str">
        <x:v>Survives being shot in the chest by Beth, albeit after a long hospitalization/recovery, and later reveals surprising martial capability by beating up a classroom full of attacking students when Rick arranges the encounter. He routinely survives the setting's chaotic adventures despite an otherwise modest body.</x:v>
      </x:c>
      <x:c r="L182" s="9" t="str">
        <x:v>Above an ordinary tiny humanoid in toughness and hand-to-hand skill, but nowhere near Rick's technological/cosmic threats. Meta jokes and direct audience address are treated as narrative presentation rather than literal reality-warping powers.</x:v>
      </x:c>
      <x:c r="M182" s="9" t="str">
        <x:v>Can be seriously wounded by conventional firearms and required extensive recovery after Beth shot him. No standard advanced arsenal. A portal gun he later acquires/stole is borrowed technology and is excluded.</x:v>
      </x:c>
      <x:c r="N182" s="9" t="str">
        <x:v>Unexpected martial arts; modest superhuman/cartoon durability; agility; social/meta awareness without assumed combat reality manipulation.</x:v>
      </x:c>
      <x:c r="O182" s="9" t="str">
        <x:v>Rick and Morty TV series; character overview https://rickandmorty.fandom.com/wiki/Mr._Poopybutthole ; current-series character listing https://www.tvmaze.com/characters/360404/rick-and-morty-mr-poopybutthole</x:v>
      </x:c>
    </x:row>
    <x:row r="183">
      <x:c r="A183" s="9" t="str">
        <x:v>Mugen &amp; Jin</x:v>
      </x:c>
      <x:c r="B183" s="36" t="n">
        <x:v>1</x:v>
      </x:c>
      <x:c r="C183" s="36" t="n">
        <x:f>IFERROR(INDEX(Cards!$A$2:$A$184,MATCH($E183,Cards!$L$2:$L$184,0)),"")</x:f>
        <x:v>1</x:v>
      </x:c>
      <x:c r="D183" s="36" t="str">
        <x:f>IF(C183="","NO PLAYABLE MATCH",IF(C183=B183,"MATCH","REVIEW"))</x:f>
        <x:v>MATCH</x:v>
      </x:c>
      <x:c r="E183" s="36" t="str">
        <x:v>c165</x:v>
      </x:c>
      <x:c r="F183" s="9" t="str">
        <x:v>Mugen &amp; Jin</x:v>
      </x:c>
      <x:c r="G183" s="9" t="str">
        <x:v>Nature</x:v>
      </x:c>
      <x:c r="H183" s="9" t="str">
        <x:v>Samurai Champloo</x:v>
      </x:c>
      <x:c r="I183" s="9" t="str">
        <x:v>Mugen and Jin, Samurai Champloo anime endgame</x:v>
      </x:c>
      <x:c r="J183" s="9" t="n">
        <x:v>2</x:v>
      </x:c>
      <x:c r="K183" s="9" t="str">
        <x:v>Mugen's unpredictable breakdance-like sword style defeats numerous armed killers and lets him survive extreme beatings/explosions; Jin's disciplined kenjutsu defeats elite swordsmen and ultimately kills master assassin Kariya despite accepting a near-fatal wound. Their final duel is effectively even until both swords break and both collapse.</x:v>
      </x:c>
      <x:c r="L183" s="9" t="str">
        <x:v>The pair are among the anime's highest human swordfighters through opposite styles: Mugen's chaos/adaptation and Jin's formal precision. They do not have reliable supernatural durability or energy attacks despite heightened anime action.</x:v>
      </x:c>
      <x:c r="M183" s="9" t="str">
        <x:v>Human bodies; both accumulate serious wounds and fatigue. Mugen is reckless and Jin can be overly orthodox against unfamiliar tactics. Their strongest victories are narrow and costly, and neither has regeneration.</x:v>
      </x:c>
      <x:c r="N183" s="9" t="str">
        <x:v>Elite swordsmanship; Mugen's unpredictable acrobatic/champloo style; Jin's orthodox kenjutsu/timing; high reflexes, endurance and situational adaptation.</x:v>
      </x:c>
      <x:c r="O183" s="9" t="str">
        <x:v>Samurai Champloo anime, especially E25–26; Mugen https://champloo.fandom.com/wiki/Mugen ; Jin https://champloo.fandom.com/wiki/Jin</x:v>
      </x:c>
    </x:row>
    <x:row r="184">
      <x:c r="A184" s="9" t="str">
        <x:v>Nezu</x:v>
      </x:c>
      <x:c r="B184" s="36" t="n">
        <x:v>1</x:v>
      </x:c>
      <x:c r="C184" s="36" t="n">
        <x:f>IFERROR(INDEX(Cards!$A$2:$A$184,MATCH($E184,Cards!$L$2:$L$184,0)),"")</x:f>
        <x:v>1</x:v>
      </x:c>
      <x:c r="D184" s="36" t="str">
        <x:f>IF(C184="","NO PLAYABLE MATCH",IF(C184=B184,"MATCH","REVIEW"))</x:f>
        <x:v>MATCH</x:v>
      </x:c>
      <x:c r="E184" s="36" t="str">
        <x:v>c173</x:v>
      </x:c>
      <x:c r="F184" s="9" t="str">
        <x:v>Nezu</x:v>
      </x:c>
      <x:c r="G184" s="9" t="str">
        <x:v>Nature</x:v>
      </x:c>
      <x:c r="H184" s="9" t="str">
        <x:v>MHA</x:v>
      </x:c>
      <x:c r="I184" s="9" t="str">
        <x:v>Nezu, My Hero Academia anime, healthy prime</x:v>
      </x:c>
      <x:c r="J184" s="9" t="n">
        <x:v>1</x:v>
      </x:c>
      <x:c r="K184" s="9" t="str">
        <x:v>High Specs gives Nezu intelligence far beyond human norms. During the practical exam he calculates a chain reaction with a wrecking ball that collapses large parts of the industrial training zone to trap Kaminari and Mina, and as U.A. principal he designs complex security/evacuation strategies.</x:v>
      </x:c>
      <x:c r="L184" s="9" t="str">
        <x:v>His intellect can weaponize an environment or prepared system far beyond his small body's strength. U.A.'s gigantic later defensive infrastructure demonstrates planning/engineering authority but is not portable personal equipment and is not treated as direct attack power.</x:v>
      </x:c>
      <x:c r="M184" s="9" t="str">
        <x:v>Small animal body has limited direct combat strength and durability despite enhanced dexterity. High Specs requires available information/resources; without prepared machinery or environmental leverage he has little ability to hurt superhuman opponents.</x:v>
      </x:c>
      <x:c r="N184" s="9" t="str">
        <x:v>High Specs super-intelligence; rapid calculation; engineering/strategic planning; environmental chain-reaction tactics; institutional resource coordination.</x:v>
      </x:c>
      <x:c r="O184" s="9" t="str">
        <x:v>My Hero Academia anime; High Specs https://myheroacademia.fandom.com/wiki/High_Spec ; Nezu https://myheroacademia.fandom.com/wiki/Nezu</x:v>
      </x:c>
    </x:row>
    <x:row r="185">
      <x:c r="A185" s="9" t="str">
        <x:v>Shibukawa</x:v>
      </x:c>
      <x:c r="B185" s="36" t="n">
        <x:v>1</x:v>
      </x:c>
      <x:c r="C185" s="36" t="n">
        <x:f>IFERROR(INDEX(Cards!$A$2:$A$184,MATCH($E185,Cards!$L$2:$L$184,0)),"")</x:f>
        <x:v>1</x:v>
      </x:c>
      <x:c r="D185" s="36" t="str">
        <x:f>IF(C185="","NO PLAYABLE MATCH",IF(C185=B185,"MATCH","REVIEW"))</x:f>
        <x:v>MATCH</x:v>
      </x:c>
      <x:c r="E185" s="36" t="str">
        <x:v>c174</x:v>
      </x:c>
      <x:c r="F185" s="9" t="str">
        <x:v>Shibukawa</x:v>
      </x:c>
      <x:c r="G185" s="9" t="str">
        <x:v>Nature</x:v>
      </x:c>
      <x:c r="H185" s="9" t="str">
        <x:v>Baki</x:v>
      </x:c>
      <x:c r="I185" s="9" t="str">
        <x:v>Gouki Shibukawa, Baki anime through BAKI-DOU (2026)</x:v>
      </x:c>
      <x:c r="J185" s="9" t="n">
        <x:v>1</x:v>
      </x:c>
      <x:c r="K185" s="9" t="str">
        <x:v>Aiki lets the tiny elderly master redirect much larger opponents' momentum and strength, allowing him to throw/dislocate physically superior fighters, defeat Doppo in the Maximum Tournament and manipulate Biscuit Oliva's enormous strength against him. In BAKI-DOU he is skilled enough to confront Musashi.</x:v>
      </x:c>
      <x:c r="L185" s="9" t="str">
        <x:v>His matchup strength wildly exceeds his raw muscle: physically stronger enemies can be helpless if Aiki catches their balance/force. However, top-tier fighters with sufficient technique, unpredictability or weapon skill can solve or bypass his redirection.</x:v>
      </x:c>
      <x:c r="M185" s="9" t="str">
        <x:v>Aiki depends on contact, leverage, timing and reading the opponent rather than making his body invulnerable. He remains a small elderly human who can be injured by attacks he fails to redirect. Ranged attacks and lethal blades reduce his margin for error.</x:v>
      </x:c>
      <x:c r="N185" s="9" t="str">
        <x:v>Aiki force/momentum redirection; joint locks; throws; balance manipulation; extraordinary martial timing; high-level jujutsu and tactical perception.</x:v>
      </x:c>
      <x:c r="O185" s="9" t="str">
        <x:v>Baki anime + BAKI-DOU: The Invincible Samurai (2026); Netflix guide https://www.netflix.com/tudum/articles/baki-dou-the-invincible-samurai-release-date-news ; https://baki.fandom.com/wiki/Gouki_Shibukawa</x:v>
      </x:c>
    </x:row>
    <x:row r="186">
      <x:c r="A186" s="9" t="str">
        <x:v>Sir Nighteye</x:v>
      </x:c>
      <x:c r="B186" s="36" t="n">
        <x:v>1</x:v>
      </x:c>
      <x:c r="C186" s="36" t="n">
        <x:f>IFERROR(INDEX(Cards!$A$2:$A$184,MATCH($E186,Cards!$L$2:$L$184,0)),"")</x:f>
        <x:v>1</x:v>
      </x:c>
      <x:c r="D186" s="36" t="str">
        <x:f>IF(C186="","NO PLAYABLE MATCH",IF(C186=B186,"MATCH","REVIEW"))</x:f>
        <x:v>MATCH</x:v>
      </x:c>
      <x:c r="E186" s="36" t="str">
        <x:v>c166</x:v>
      </x:c>
      <x:c r="F186" s="9" t="str">
        <x:v>Sir Nighteye</x:v>
      </x:c>
      <x:c r="G186" s="9" t="str">
        <x:v>Magic</x:v>
      </x:c>
      <x:c r="H186" s="9" t="str">
        <x:v>MHA</x:v>
      </x:c>
      <x:c r="I186" s="9" t="str">
        <x:v>Sir Nighteye / Mirai Sasaki, My Hero Academia anime prime</x:v>
      </x:c>
      <x:c r="J186" s="9" t="n">
        <x:v>1</x:v>
      </x:c>
      <x:c r="K186" s="9" t="str">
        <x:v>Foresight activates after touching a target and making eye contact, then lets Nighteye observe that person's future like a film for the next hour and even events far ahead along that timeline. He uses prediction to dodge Deku's rapid attacks and survive briefly against Overhaul while throwing heavy seal stamps with precision.</x:v>
      </x:c>
      <x:c r="L186" s="9" t="str">
        <x:v>A strong information/evasion hax user rather than a heavy hitter. Against opponents he has successfully read, his predictive advantage makes tagging him difficult, but his future sight does not grant the physical speed/durability to survive everything he sees.</x:v>
      </x:c>
      <x:c r="M186" s="9" t="str">
        <x:v>Foresight can only be activated once every 24 hours and requires initial touch plus eye contact; after activation he can watch only one target's future for about an hour. The Overhaul/Eri event shows predicted futures are not absolutely immutable. Human body is lethally vulnerable to major attacks.</x:v>
      </x:c>
      <x:c r="N186" s="9" t="str">
        <x:v>Foresight precognition; predictive evasion; exceptional analysis; heavy seal-stamp projectile fighting; trained hand-to-hand skill.</x:v>
      </x:c>
      <x:c r="O186" s="9" t="str">
        <x:v>My Hero Academia anime Shie Hassaikai arc; Foresight https://myheroacademia.fandom.com/wiki/Foresight ; Sir Nighteye https://myheroacademia.fandom.com/wiki/Mirai_Sasaki</x:v>
      </x:c>
    </x:row>
    <x:row r="187">
      <x:c r="A187" s="9" t="str">
        <x:v>V</x:v>
      </x:c>
      <x:c r="B187" s="36" t="n">
        <x:v>1</x:v>
      </x:c>
      <x:c r="C187" s="36" t="n">
        <x:f>IFERROR(INDEX(Cards!$A$2:$A$184,MATCH($E187,Cards!$L$2:$L$184,0)),"")</x:f>
        <x:v>1</x:v>
      </x:c>
      <x:c r="D187" s="36" t="str">
        <x:f>IF(C187="","NO PLAYABLE MATCH",IF(C187=B187,"MATCH","REVIEW"))</x:f>
        <x:v>MATCH</x:v>
      </x:c>
      <x:c r="E187" s="36" t="str">
        <x:v>c175</x:v>
      </x:c>
      <x:c r="F187" s="9" t="str">
        <x:v>V</x:v>
      </x:c>
      <x:c r="G187" s="9" t="str">
        <x:v>Nature</x:v>
      </x:c>
      <x:c r="H187" s="9" t="str">
        <x:v>V for Vendetta</x:v>
      </x:c>
      <x:c r="I187" s="9" t="str">
        <x:v>V, V for Vendetta (2005 film)</x:v>
      </x:c>
      <x:c r="J187" s="9" t="n">
        <x:v>1</x:v>
      </x:c>
      <x:c r="K187" s="9" t="str">
        <x:v>Displays enhanced reflexes/strength and elite knife skill, kills groups of armed men at close range and in the finale survives a sustained automatic-fire volley long enough to cross the room and kill Creedy and his guards before later dying from the wounds. He also executes long-term demolition/terror plans with explosives.</x:v>
      </x:c>
      <x:c r="L187" s="9" t="str">
        <x:v>Clearly beyond an ordinary trained human in pain tolerance, speed and close-quarters lethality, but his gunfire survival is aided by body armor and does not mean bullets cannot kill him. His Old Bailey/Parliament destruction is planned demolition, not personal blast output.</x:v>
      </x:c>
      <x:c r="M187" s="9" t="str">
        <x:v>Still mortal: the final gunshot wounds kill him. Body armor protects the torso but not every area; firearms at range remain dangerous. Large bomb plots require extensive preparation and infrastructure.</x:v>
      </x:c>
      <x:c r="N187" s="9" t="str">
        <x:v>Elite knife throwing/fighting; enhanced reflexes/strength; body armor; stealth/disguise; explosives and long-term planning; high pain tolerance.</x:v>
      </x:c>
      <x:c r="O187" s="9" t="str">
        <x:v>V for Vendetta (2005); film itself; character reference https://dc.fandom.com/wiki/V_(V_for_Vendetta)</x:v>
      </x:c>
    </x:row>
    <x:row r="188">
      <x:c r="A188" s="9" t="str">
        <x:v>Vegapunk</x:v>
      </x:c>
      <x:c r="B188" s="36" t="n">
        <x:v>1</x:v>
      </x:c>
      <x:c r="C188" s="36" t="n">
        <x:f>IFERROR(INDEX(Cards!$A$2:$A$184,MATCH($E188,Cards!$L$2:$L$184,0)),"")</x:f>
        <x:v>1</x:v>
      </x:c>
      <x:c r="D188" s="36" t="str">
        <x:f>IF(C188="","NO PLAYABLE MATCH",IF(C188=B188,"MATCH","REVIEW"))</x:f>
        <x:v>MATCH</x:v>
      </x:c>
      <x:c r="E188" s="36" t="str">
        <x:v>c167</x:v>
      </x:c>
      <x:c r="F188" s="9" t="str">
        <x:v>Vegapunk</x:v>
      </x:c>
      <x:c r="G188" s="9" t="str">
        <x:v>Tech</x:v>
      </x:c>
      <x:c r="H188" s="9" t="str">
        <x:v>One Piece</x:v>
      </x:c>
      <x:c r="I188" s="9" t="str">
        <x:v>Dr. Vegapunk, Stella body only, One Piece anime Egghead era</x:v>
      </x:c>
      <x:c r="J188" s="9" t="n">
        <x:v>1</x:v>
      </x:c>
      <x:c r="K188" s="9" t="str">
        <x:v>The original Vegapunk possesses the Brain-Brain Fruit, allowing his brain to expand indefinitely as he accumulates knowledge. He externalized his enormous brain into Punk Records and remains one of the world's greatest scientists, responsible for breakthroughs including Pacifista technology, Seraphim research, Seastone applications, artificial Devil Fruit research, advanced energy systems and Egghead's futuristic technology.</x:v>
      </x:c>
      <x:c r="L188" s="9" t="str">
        <x:v>Stella is intellectually and technologically extraordinary but is not a top-tier direct combatant. His inventions demonstrate enormous strategic potential, yet Pacifista, Seraphim, Satellites and other independent creations are not counted as extra bodies or automatic combat summons for this card.</x:v>
      </x:c>
      <x:c r="M188" s="9" t="str">
        <x:v>Only the Stella body is counted. Stella is physically vulnerable compared with high-end One Piece fighters and depends heavily on laboratories, equipment, Punk Records and prepared technology for his greatest achievements. Satellites and external combat units are excluded.</x:v>
      </x:c>
      <x:c r="N188" s="9" t="str">
        <x:v>Brain-Brain Fruit knowledge storage; access to Punk Records as his externalized brain; super-genius engineering; robotics/cybernetics; energy and weapons research; Devil Fruit and Seastone research; advanced scientific analysis. No Satellite bodies included.</x:v>
      </x:c>
      <x:c r="O188" s="9" t="str">
        <x:v>One Piece Egghead anime; official Vegapunk profile https://one-piece.com/character/Vegapunk/index.html</x:v>
      </x:c>
    </x:row>
    <x:row r="189">
      <x:c r="A189" s="9" t="str">
        <x:v>Walter White</x:v>
      </x:c>
      <x:c r="B189" s="36" t="n">
        <x:v>1</x:v>
      </x:c>
      <x:c r="C189" s="36" t="n">
        <x:f>IFERROR(INDEX(Cards!$A$2:$A$184,MATCH($E189,Cards!$L$2:$L$184,0)),"")</x:f>
        <x:v>1</x:v>
      </x:c>
      <x:c r="D189" s="36" t="str">
        <x:f>IF(C189="","NO PLAYABLE MATCH",IF(C189=B189,"MATCH","REVIEW"))</x:f>
        <x:v>MATCH</x:v>
      </x:c>
      <x:c r="E189" s="36" t="str">
        <x:v>c168</x:v>
      </x:c>
      <x:c r="F189" s="9" t="str">
        <x:v>Walter White</x:v>
      </x:c>
      <x:c r="G189" s="9" t="str">
        <x:v>Tech</x:v>
      </x:c>
      <x:c r="H189" s="9" t="str">
        <x:v>Breaking Bad</x:v>
      </x:c>
      <x:c r="I189" s="9" t="str">
        <x:v>Walter White / Heisenberg, Breaking Bad TV canon, healthy strategic prime</x:v>
      </x:c>
      <x:c r="J189" s="9" t="n">
        <x:v>1</x:v>
      </x:c>
      <x:c r="K189" s="9" t="str">
        <x:v>Uses chemistry and planning to defeat physically stronger criminal threats: creates a violent fulminated-mercury demonstration against Tuco, improvises toxic phosphine gas, engineers Hector Salamanca's bomb that kills Gus Fring and builds a remote-controlled M60 trunk turret that wipes out Jack's armed gang in the finale.</x:v>
      </x:c>
      <x:c r="L189" s="9" t="str">
        <x:v>Walter's offensive ceiling is prep-based engineering/chemistry, not his body. His traps can kill heavily armed criminals who would destroy him in a fair gunfight, but treating the M60 rig, bomb, poison lab and every chemical trick as simultaneous carried gear would overstate him.</x:v>
      </x:c>
      <x:c r="M189" s="9" t="str">
        <x:v>Ordinary human durability and only modest firearms/combat skill. Complex schemes require time, materials, deception and target predictability. Illness is ignored under prime-condition rule, but ego, impulsiveness and poor close-combat ability remain real weaknesses.</x:v>
      </x:c>
      <x:c r="N189" s="9" t="str">
        <x:v>Elite chemistry; poison production (ricin/phosphine); explosives and improvised devices; remote M60 turret engineering; pistol/firearm use; deception, manipulation and long-term criminal planning.</x:v>
      </x:c>
      <x:c r="O189" s="9" t="str">
        <x:v>Breaking Bad TV series; AMC https://www.amc.com/shows/breaking-bad ; finale engineering discussion https://www.salon.com/2013/09/30/the_three_biggest_macgyver_moments_from_the_breaking_bad_finale/</x:v>
      </x:c>
    </x:row>
    <x:row r="190">
      <x:c r="A190" s="9" t="str">
        <x:v>Carrier Strike Group</x:v>
      </x:c>
      <x:c r="B190" s="36" t="n">
        <x:v>5</x:v>
      </x:c>
      <x:c r="C190" s="36" t="n">
        <x:f>IFERROR(INDEX(Cards!$A$2:$A$184,MATCH($E190,Cards!$L$2:$L$184,0)),"")</x:f>
        <x:v>5</x:v>
      </x:c>
      <x:c r="D190" s="36" t="str">
        <x:f>IF(C190="","NO PLAYABLE MATCH",IF(C190=B190,"MATCH","REVIEW"))</x:f>
        <x:v>MATCH</x:v>
      </x:c>
      <x:c r="E190" s="36" t="str">
        <x:v>c187</x:v>
      </x:c>
      <x:c r="F190" s="9" t="str">
        <x:v>Carrier Strike Group</x:v>
      </x:c>
      <x:c r="G190" s="9" t="str">
        <x:v>Tech</x:v>
      </x:c>
      <x:c r="H190" s="9" t="str">
        <x:v>Basic</x:v>
      </x:c>
      <x:c r="I190" s="9" t="str">
        <x:v>Generic modern carrier strike group benchmark (Convergence Basic)</x:v>
      </x:c>
      <x:c r="J190" s="9" t="n">
        <x:v>1</x:v>
      </x:c>
      <x:c r="K190" s="9" t="str">
        <x:v>A carrier, air wing, escorts, sensors, and command staff project air power, layered defense, electronic warfare, and long-range maritime strike across a large battlespace.</x:v>
      </x:c>
      <x:c r="L190" s="9" t="str">
        <x:v>A coordinated naval force far above a single ship or infantry unit; it can control sea and air space locally, but remains below strategic, planetary, and cosmic entities.</x:v>
      </x:c>
      <x:c r="M190" s="9" t="str">
        <x:v>Finite aircraft sorties, fuel, ammunition, maintenance, and communications; vulnerable to submarines, anti-ship missiles, mines, cyber or electronic attack, and attacks from non-Tech forces; its own direct attack is modest.</x:v>
      </x:c>
      <x:c r="N190" s="9" t="str">
        <x:v>Air superiority; layered radar and missile defense; carrier aviation; electronic warfare; command-and-control; no supernatural hax.</x:v>
      </x:c>
      <x:c r="O190" s="9" t="str">
        <x:v>Convergence c187; U.S. Navy OPNAVINST 3501.316C, https://www.secnav.navy.mil/doni/Directives/03000%20Naval%20Operations%20and%20Readiness/03-500%20Training%20and%20Readiness%20Services/3501.316C.pdf; U.S. Navy Aircraft Carriers - CVN, https://www.navy.mil/Resources/Fact-Files/Display-Fact-Files/Article/2169795/aircraft-carriers-cvn/</x:v>
      </x:c>
    </x:row>
  </x:sheetData>
  <x:mergeCells>
    <x:mergeCell ref="A1:O1"/>
    <x:mergeCell ref="A2:H4"/>
    <x:mergeCell ref="A5:H5"/>
  </x:mergeCells>
  <x:conditionalFormatting sqref="D7:D190">
    <x:cfRule type="containsText" dxfId="11" priority="1" operator="containsText" text="MATCH"/>
    <x:cfRule type="containsText" dxfId="12" priority="2" operator="containsText" text="REVIEW"/>
  </x:conditionalFormatting>
  <x:pageMargins left="0.7" right="0.7" top="0.75" bottom="0.75" header="0.3" footer="0.3"/>
  <x:tableParts count="1">
    <x:tablePart xmlns:r="http://schemas.openxmlformats.org/officeDocument/2006/relationships" r:id="R0ac5f3e07c244c4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7" hidden="0" customWidth="1"/>
    <x:col min="2" max="2" width="34" hidden="0" customWidth="1"/>
    <x:col min="3" max="3" width="122" hidden="0" customWidth="1"/>
  </x:cols>
  <x:sheetData>
    <x:row r="1" ht="34" customHeight="1">
      <x:c r="A1" s="37" t="str">
        <x:v>Lore Ranking Rules</x:v>
      </x:c>
      <x:c r="B1" s="37"/>
      <x:c r="C1" s="37"/>
    </x:row>
    <x:row r="2">
      <x:c r="A2" s="9"/>
      <x:c r="B2" s="9"/>
      <x:c r="C2" s="9"/>
    </x:row>
    <x:row r="3" ht="28" customHeight="1">
      <x:c r="A3" s="40" t="str">
        <x:v>#</x:v>
      </x:c>
      <x:c r="B3" s="40" t="str">
        <x:v>Rule</x:v>
      </x:c>
      <x:c r="C3" s="40" t="str">
        <x:v>Definition</x:v>
      </x:c>
    </x:row>
    <x:row r="4" ht="50" customHeight="1">
      <x:c r="A4" s="41" t="n">
        <x:v>1</x:v>
      </x:c>
      <x:c r="B4" s="42" t="str">
        <x:v>Screen-oriented canon</x:v>
      </x:c>
      <x:c r="C4" s="43" t="str">
        <x:v>Use the screen version when one exists. Anime, film, or TV portrayals take priority over manga, comic, novel, or other source-material versions.</x:v>
      </x:c>
    </x:row>
    <x:row r="5" ht="50" customHeight="1">
      <x:c r="A5" s="41" t="n">
        <x:v>2</x:v>
      </x:c>
      <x:c r="B5" s="42" t="str">
        <x:v>Prime condition</x:v>
      </x:c>
      <x:c r="C5" s="43" t="str">
        <x:v>Rank characters in their strongest normally accessible canonical condition, not while weakened by illness, age, injury, or an explicitly diminished state.</x:v>
      </x:c>
    </x:row>
    <x:row r="6" ht="50" customHeight="1">
      <x:c r="A6" s="41" t="n">
        <x:v>3</x:v>
      </x:c>
      <x:c r="B6" s="42" t="str">
        <x:v>Ignore world-entry restrictions</x:v>
      </x:c>
      <x:c r="C6" s="43" t="str">
        <x:v>Do not count restrictions that only govern summoning, entry, or initial manifestation in the battlefield/world. Once present, evaluate the character without those entry-only restrictions.</x:v>
      </x:c>
    </x:row>
    <x:row r="7" ht="50" customHeight="1">
      <x:c r="A7" s="41" t="n">
        <x:v>4</x:v>
      </x:c>
      <x:c r="B7" s="42" t="str">
        <x:v>Standardized supernatural systems</x:v>
      </x:c>
      <x:c r="C7" s="43" t="str">
        <x:v>Treat magic, mana, chakra, nen, ki, cursed energy, and analogous supernatural energy systems as mutually interactive for cross-setting comparisons.</x:v>
      </x:c>
    </x:row>
    <x:row r="8" ht="50" customHeight="1">
      <x:c r="A8" s="41" t="n">
        <x:v>5</x:v>
      </x:c>
      <x:c r="B8" s="42" t="str">
        <x:v>Interoperability is not equalization</x:v>
      </x:c>
      <x:c r="C8" s="43" t="str">
        <x:v>Standardization lets different power systems interact; it does not make their reserves, efficiency, mechanics, or potency equal.</x:v>
      </x:c>
    </x:row>
    <x:row r="9" ht="67" customHeight="1">
      <x:c r="A9" s="41" t="n">
        <x:v>6</x:v>
      </x:c>
      <x:c r="B9" s="42" t="str">
        <x:v>Temporary peak forms</x:v>
      </x:c>
      <x:c r="C9" s="43" t="str">
        <x:v>Include transformations or peak states the character can access through their own normal abilities, even if time-limited. Exclude one-off external empowerment, borrowed power, possession, or special plot-only amps unless that version is explicitly the listed entry.</x:v>
      </x:c>
    </x:row>
    <x:row r="10" ht="34" customHeight="1">
      <x:c r="A10" s="41" t="n">
        <x:v>7</x:v>
      </x:c>
      <x:c r="B10" s="42" t="str">
        <x:v>No continuity composites</x:v>
      </x:c>
      <x:c r="C10" s="43" t="str">
        <x:v>Do not combine unrelated adaptations or continuities. Use the version implied by the Origin and Version fields.</x:v>
      </x:c>
    </x:row>
    <x:row r="11" ht="50" customHeight="1">
      <x:c r="A11" s="41" t="n">
        <x:v>8</x:v>
      </x:c>
      <x:c r="B11" s="42" t="str">
        <x:v>Screen feats stay screen feats</x:v>
      </x:c>
      <x:c r="C11" s="43" t="str">
        <x:v>Source material may clarify terminology or mechanics when useful, but manga/comic/novel-only feats should not be imported into a screen-oriented version.</x:v>
      </x:c>
    </x:row>
    <x:row r="12" ht="67" customHeight="1">
      <x:c r="A12" s="41" t="n">
        <x:v>9</x:v>
      </x:c>
      <x:c r="B12" s="42" t="str">
        <x:v>Evidence priority</x:v>
      </x:c>
      <x:c r="C12" s="43" t="str">
        <x:v>Demonstrated canonical feats carry the most weight. Clear narrator, creator, or in-universe statements can supplement them. Hyperbole, jokes, promotional claims, and vague 'infinite power' language should not automatically be treated literally.</x:v>
      </x:c>
    </x:row>
    <x:row r="13" ht="50" customHeight="1">
      <x:c r="A13" s="41" t="n">
        <x:v>10</x:v>
      </x:c>
      <x:c r="B13" s="42" t="str">
        <x:v>Scaling</x:v>
      </x:c>
      <x:c r="C13" s="43" t="str">
        <x:v>Direct and consistent scaling from other characters is allowed. Record defensible comparisons in the Scaling field, but avoid long speculative chains or one-off outlier scaling.</x:v>
      </x:c>
    </x:row>
    <x:row r="14" ht="50" customHeight="1">
      <x:c r="A14" s="41" t="n">
        <x:v>11</x:v>
      </x:c>
      <x:c r="B14" s="42" t="str">
        <x:v>Equipment and summons</x:v>
      </x:c>
      <x:c r="C14" s="43" t="str">
        <x:v>Standard equipment, permanently owned gear, and summons that are part of the character's normal kit count. Temporary borrowed gear and unrelated allies do not.</x:v>
      </x:c>
    </x:row>
    <x:row r="15" ht="50" customHeight="1">
      <x:c r="A15" s="41" t="n">
        <x:v>12</x:v>
      </x:c>
      <x:c r="B15" s="42" t="str">
        <x:v>Groups and objects</x:v>
      </x:c>
      <x:c r="C15" s="43" t="str">
        <x:v>Evaluate groups, armies, vehicles, artifacts, and structures as the exact listed entity rather than forcing them into individual-character assumptions.</x:v>
      </x:c>
    </x:row>
    <x:row r="16" ht="50" customHeight="1">
      <x:c r="A16" s="41" t="n">
        <x:v>13</x:v>
      </x:c>
      <x:c r="B16" s="42" t="str">
        <x:v>Combat limitations still count</x:v>
      </x:c>
      <x:c r="C16" s="43" t="str">
        <x:v>Keep limitations that affect actual combat performance, such as cooldowns, stamina, range, concentration, activation conditions, ammunition, required gestures, or exploitable weaknesses.</x:v>
      </x:c>
    </x:row>
    <x:row r="17" ht="50" customHeight="1">
      <x:c r="A17" s="41" t="n">
        <x:v>14</x:v>
      </x:c>
      <x:c r="B17" s="42" t="str">
        <x:v>Quantity is numeric only</x:v>
      </x:c>
      <x:c r="C17" s="43" t="str">
        <x:v>Use only a number in Quantity. Use 1 for a single character/entity unless the listed entry explicitly represents multiple members; for groups, use the exact listed count when known.</x:v>
      </x:c>
    </x:row>
    <x:row r="18" ht="50" customHeight="1">
      <x:c r="A18" s="41" t="n">
        <x:v>15</x:v>
      </x:c>
      <x:c r="B18" s="42" t="str">
        <x:v>Sources</x:v>
      </x:c>
      <x:c r="C18" s="43" t="str">
        <x:v>Prefer specific canonical references where practical, such as season/episode, film, chapter, or issue. Reliable secondary sources may be added for verification or terminology, but should not replace primary canon evidence.</x:v>
      </x:c>
    </x:row>
    <x:row r="19" ht="84" customHeight="1">
      <x:c r="A19" s="41" t="n">
        <x:v>16</x:v>
      </x:c>
      <x:c r="B19" s="42" t="str">
        <x:v>House Rules</x:v>
      </x:c>
      <x:c r="C19" s="43" t="str">
        <x:v>Custom deviations override normal canon where explicitly stated on a card. Neo and Morpheus: treat their Matrix-enhanced abilities as functioning in the real world as well; they perceive reality as Matrix-like code and retain their Matrix superhuman abilities outside the simulation. Light Yagami: Ryuk actively assists Light when useful, including using his Shinigami Eyes to identify a target's true name for Light.</x:v>
      </x:c>
    </x:row>
    <x:row r="20" ht="84" customHeight="1">
      <x:c r="A20" s="41" t="n">
        <x:v>17</x:v>
      </x:c>
      <x:c r="B20" s="42" t="str">
        <x:v>Source-material peek</x:v>
      </x:c>
      <x:c r="C20" s="43" t="str">
        <x:v>When a screen version does not yet provide enough information to judge a character's intended power level, later manga/comic/source-material feats may be consulted as a limited 'peek' to understand the likely power bracket, toolkit, or scaling. Peek material must be clearly labeled in Scaling or Sources and should not be silently imported as an on-screen feat. Screen-demonstrated feats remain the primary evidence whenever available.</x:v>
      </x:c>
    </x:row>
    <x:row r="21" ht="101" customHeight="1">
      <x:c r="A21" s="41" t="n">
        <x:v>18</x:v>
      </x:c>
      <x:c r="B21" s="42" t="str">
        <x:v>Demonstrated power utilization</x:v>
      </x:c>
      <x:c r="C21" s="43" t="str">
        <x:v>Rank practical lore threat, not only a power's theoretical ceiling. How reliably, intelligently and creatively an entity converts its abilities, equipment or hax into actual results matters. Proven planning, consistency and successful exploitation of narrow powers can raise effective threat; repeated self-sabotage, design flaws, poor judgment, failure to capitalize, or a long canon pattern of failing to secure wins despite powerful tools can lower it. Do not overreact to one isolated plot loss, but repeated demonstrated performance is valid evidence.</x:v>
      </x:c>
    </x:row>
  </x:sheetData>
  <x:mergeCells>
    <x:mergeCell ref="A1:C1"/>
  </x:mergeCells>
  <x:pageMargins left="0.7" right="0.7" top="0.75" bottom="0.75" header="0.3" footer="0.3"/>
</x:worksheet>
</file>